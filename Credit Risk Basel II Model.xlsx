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6" tabRatio="500" activeTab="1"/>
  </bookViews>
  <sheets>
    <sheet name="Dashboard" sheetId="1" r:id="rId1"/>
    <sheet name="Assumptions" sheetId="2" r:id="rId2"/>
    <sheet name="Loan Book" sheetId="3" r:id="rId3"/>
    <sheet name="Scenario Analysis" sheetId="4" r:id="rId4"/>
    <sheet name="Summary" sheetId="5" r:id="rId5"/>
  </sheets>
  <calcPr calcId="144525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2" i="5" l="1"/>
  <c r="K20" i="4"/>
  <c r="J20" i="4"/>
  <c r="L20" i="4" s="1"/>
  <c r="I20" i="4"/>
  <c r="H20" i="4"/>
  <c r="G20" i="4"/>
  <c r="F20" i="4"/>
  <c r="E20" i="4"/>
  <c r="K19" i="4"/>
  <c r="J19" i="4"/>
  <c r="L19" i="4" s="1"/>
  <c r="I19" i="4"/>
  <c r="H19" i="4"/>
  <c r="G19" i="4"/>
  <c r="F19" i="4"/>
  <c r="E19" i="4"/>
  <c r="K18" i="4"/>
  <c r="J18" i="4"/>
  <c r="L18" i="4" s="1"/>
  <c r="I18" i="4"/>
  <c r="H18" i="4"/>
  <c r="G18" i="4"/>
  <c r="F18" i="4"/>
  <c r="E18" i="4"/>
  <c r="K17" i="4"/>
  <c r="J17" i="4"/>
  <c r="L17" i="4" s="1"/>
  <c r="I17" i="4"/>
  <c r="H17" i="4"/>
  <c r="G17" i="4"/>
  <c r="F17" i="4"/>
  <c r="E17" i="4"/>
  <c r="K16" i="4"/>
  <c r="J16" i="4"/>
  <c r="L16" i="4" s="1"/>
  <c r="I16" i="4"/>
  <c r="H16" i="4"/>
  <c r="G16" i="4"/>
  <c r="F16" i="4"/>
  <c r="E16" i="4"/>
  <c r="K15" i="4"/>
  <c r="J15" i="4"/>
  <c r="L15" i="4" s="1"/>
  <c r="I15" i="4"/>
  <c r="H15" i="4"/>
  <c r="G15" i="4"/>
  <c r="F15" i="4"/>
  <c r="E15" i="4"/>
  <c r="K14" i="4"/>
  <c r="J14" i="4"/>
  <c r="L14" i="4" s="1"/>
  <c r="I14" i="4"/>
  <c r="H14" i="4"/>
  <c r="G14" i="4"/>
  <c r="F14" i="4"/>
  <c r="E14" i="4"/>
  <c r="K13" i="4"/>
  <c r="J13" i="4"/>
  <c r="L13" i="4" s="1"/>
  <c r="I13" i="4"/>
  <c r="H13" i="4"/>
  <c r="G13" i="4"/>
  <c r="F13" i="4"/>
  <c r="E13" i="4"/>
  <c r="K12" i="4"/>
  <c r="J12" i="4"/>
  <c r="L12" i="4" s="1"/>
  <c r="I12" i="4"/>
  <c r="H12" i="4"/>
  <c r="G12" i="4"/>
  <c r="F12" i="4"/>
  <c r="E12" i="4"/>
  <c r="K11" i="4"/>
  <c r="J11" i="4"/>
  <c r="L11" i="4" s="1"/>
  <c r="I11" i="4"/>
  <c r="H11" i="4"/>
  <c r="G11" i="4"/>
  <c r="F11" i="4"/>
  <c r="E11" i="4"/>
  <c r="K10" i="4"/>
  <c r="J10" i="4"/>
  <c r="L10" i="4" s="1"/>
  <c r="I10" i="4"/>
  <c r="H10" i="4"/>
  <c r="G10" i="4"/>
  <c r="F10" i="4"/>
  <c r="E10" i="4"/>
  <c r="K9" i="4"/>
  <c r="J9" i="4"/>
  <c r="L9" i="4" s="1"/>
  <c r="I9" i="4"/>
  <c r="H9" i="4"/>
  <c r="G9" i="4"/>
  <c r="F9" i="4"/>
  <c r="E9" i="4"/>
  <c r="K8" i="4"/>
  <c r="J8" i="4"/>
  <c r="L8" i="4" s="1"/>
  <c r="I8" i="4"/>
  <c r="H8" i="4"/>
  <c r="G8" i="4"/>
  <c r="F8" i="4"/>
  <c r="E8" i="4"/>
  <c r="K7" i="4"/>
  <c r="J7" i="4"/>
  <c r="L7" i="4" s="1"/>
  <c r="I7" i="4"/>
  <c r="H7" i="4"/>
  <c r="G7" i="4"/>
  <c r="F7" i="4"/>
  <c r="E7" i="4"/>
  <c r="K6" i="4"/>
  <c r="K21" i="4" s="1"/>
  <c r="E27" i="4" s="1"/>
  <c r="E18" i="5" s="1"/>
  <c r="J6" i="4"/>
  <c r="J21" i="4" s="1"/>
  <c r="C27" i="4" s="1"/>
  <c r="I6" i="4"/>
  <c r="I21" i="4" s="1"/>
  <c r="E26" i="4" s="1"/>
  <c r="E17" i="5" s="1"/>
  <c r="H6" i="4"/>
  <c r="H21" i="4" s="1"/>
  <c r="C26" i="4" s="1"/>
  <c r="G6" i="4"/>
  <c r="G21" i="4" s="1"/>
  <c r="E25" i="4" s="1"/>
  <c r="E16" i="5" s="1"/>
  <c r="F6" i="4"/>
  <c r="F21" i="4" s="1"/>
  <c r="C25" i="4" s="1"/>
  <c r="E6" i="4"/>
  <c r="E21" i="4" s="1"/>
  <c r="G21" i="3"/>
  <c r="C5" i="5" s="1"/>
  <c r="M20" i="3"/>
  <c r="N20" i="3" s="1"/>
  <c r="P20" i="3" s="1"/>
  <c r="L20" i="3"/>
  <c r="K20" i="3"/>
  <c r="O20" i="3" s="1"/>
  <c r="O19" i="3"/>
  <c r="N19" i="3"/>
  <c r="P19" i="3" s="1"/>
  <c r="M19" i="3"/>
  <c r="L19" i="3"/>
  <c r="K19" i="3"/>
  <c r="O18" i="3"/>
  <c r="M18" i="3"/>
  <c r="N18" i="3" s="1"/>
  <c r="P18" i="3" s="1"/>
  <c r="L18" i="3"/>
  <c r="K18" i="3"/>
  <c r="M17" i="3"/>
  <c r="N17" i="3" s="1"/>
  <c r="P17" i="3" s="1"/>
  <c r="L17" i="3"/>
  <c r="L21" i="3" s="1"/>
  <c r="C7" i="5" s="1"/>
  <c r="K17" i="3"/>
  <c r="O17" i="3" s="1"/>
  <c r="M16" i="3"/>
  <c r="N16" i="3" s="1"/>
  <c r="P16" i="3" s="1"/>
  <c r="L16" i="3"/>
  <c r="K16" i="3"/>
  <c r="O16" i="3" s="1"/>
  <c r="P15" i="3"/>
  <c r="O15" i="3"/>
  <c r="N15" i="3"/>
  <c r="M15" i="3"/>
  <c r="L15" i="3"/>
  <c r="K15" i="3"/>
  <c r="O14" i="3"/>
  <c r="M14" i="3"/>
  <c r="N14" i="3" s="1"/>
  <c r="P14" i="3" s="1"/>
  <c r="L14" i="3"/>
  <c r="K14" i="3"/>
  <c r="M13" i="3"/>
  <c r="N13" i="3" s="1"/>
  <c r="P13" i="3" s="1"/>
  <c r="L13" i="3"/>
  <c r="K13" i="3"/>
  <c r="O13" i="3" s="1"/>
  <c r="M12" i="3"/>
  <c r="N12" i="3" s="1"/>
  <c r="P12" i="3" s="1"/>
  <c r="L12" i="3"/>
  <c r="K12" i="3"/>
  <c r="O12" i="3" s="1"/>
  <c r="P11" i="3"/>
  <c r="O11" i="3"/>
  <c r="N11" i="3"/>
  <c r="M11" i="3"/>
  <c r="L11" i="3"/>
  <c r="K11" i="3"/>
  <c r="O10" i="3"/>
  <c r="M10" i="3"/>
  <c r="N10" i="3" s="1"/>
  <c r="P10" i="3" s="1"/>
  <c r="L10" i="3"/>
  <c r="K10" i="3"/>
  <c r="M9" i="3"/>
  <c r="N9" i="3" s="1"/>
  <c r="P9" i="3" s="1"/>
  <c r="L9" i="3"/>
  <c r="K9" i="3"/>
  <c r="O9" i="3" s="1"/>
  <c r="M8" i="3"/>
  <c r="N8" i="3" s="1"/>
  <c r="P8" i="3" s="1"/>
  <c r="L8" i="3"/>
  <c r="K8" i="3"/>
  <c r="O8" i="3" s="1"/>
  <c r="P7" i="3"/>
  <c r="O7" i="3"/>
  <c r="N7" i="3"/>
  <c r="M7" i="3"/>
  <c r="L7" i="3"/>
  <c r="K7" i="3"/>
  <c r="K21" i="3" s="1"/>
  <c r="O6" i="3"/>
  <c r="M6" i="3"/>
  <c r="M21" i="3" s="1"/>
  <c r="C8" i="5" s="1"/>
  <c r="L6" i="3"/>
  <c r="K6" i="3"/>
  <c r="C35" i="2"/>
  <c r="D24" i="2"/>
  <c r="D23" i="2"/>
  <c r="D22" i="2"/>
  <c r="D21" i="2"/>
  <c r="D20" i="2"/>
  <c r="D19" i="2"/>
  <c r="D18" i="2"/>
  <c r="C18" i="5" l="1"/>
  <c r="D27" i="4"/>
  <c r="D26" i="4"/>
  <c r="C17" i="5"/>
  <c r="O21" i="3"/>
  <c r="C10" i="5" s="1"/>
  <c r="C6" i="5"/>
  <c r="C16" i="5"/>
  <c r="D25" i="4"/>
  <c r="L6" i="4"/>
  <c r="L21" i="4" s="1"/>
  <c r="N6" i="3"/>
  <c r="D16" i="5" l="1"/>
  <c r="F25" i="4"/>
  <c r="D17" i="5"/>
  <c r="F26" i="4"/>
  <c r="P6" i="3"/>
  <c r="N21" i="3"/>
  <c r="D18" i="5"/>
  <c r="F27" i="4"/>
  <c r="F17" i="5"/>
  <c r="F18" i="5"/>
  <c r="C9" i="5" l="1"/>
  <c r="P21" i="3"/>
  <c r="C11" i="5" s="1"/>
</calcChain>
</file>

<file path=xl/sharedStrings.xml><?xml version="1.0" encoding="utf-8"?>
<sst xmlns="http://schemas.openxmlformats.org/spreadsheetml/2006/main" count="307" uniqueCount="214">
  <si>
    <t>BASEL II CREDIT RISK MODEL</t>
  </si>
  <si>
    <t>Expected Loss · Unexpected Loss · Regulatory Capital Calculator</t>
  </si>
  <si>
    <t>MODEL NAVIGATION</t>
  </si>
  <si>
    <t xml:space="preserve">  1. Assumptions</t>
  </si>
  <si>
    <t>All input parameters — PD, LGD, EAD, Basel risk weights. START HERE.</t>
  </si>
  <si>
    <t xml:space="preserve">  2. Loan Book</t>
  </si>
  <si>
    <t>15-loan portfolio with individual EL, UL and capital calculations.</t>
  </si>
  <si>
    <t xml:space="preserve">  3. Scenario Analysis</t>
  </si>
  <si>
    <t>Normal vs Recession vs Severe Stress scenario comparison.</t>
  </si>
  <si>
    <t xml:space="preserve">  4. Summary</t>
  </si>
  <si>
    <t>Aggregated portfolio metrics, capital ratios and key risk indicators.</t>
  </si>
  <si>
    <t>COLOUR CODING CONVENTION (Industry Standard)</t>
  </si>
  <si>
    <t>Blue text</t>
  </si>
  <si>
    <t>Hardcoded inputs — values YOU can change</t>
  </si>
  <si>
    <t>Black text</t>
  </si>
  <si>
    <t>Formulas &amp; calculated values — do not edit</t>
  </si>
  <si>
    <t>Green text</t>
  </si>
  <si>
    <t>Cross-sheet links pulling from another tab</t>
  </si>
  <si>
    <t>Yellow bg</t>
  </si>
  <si>
    <t>Key assumption cells requiring attention</t>
  </si>
  <si>
    <t>BASEL II FRAMEWORK — KEY CONCEPTS</t>
  </si>
  <si>
    <t>Expected Loss (EL)</t>
  </si>
  <si>
    <t>EL = PD × LGD × EAD  — The average loss a bank expects on a loan/portfolio.</t>
  </si>
  <si>
    <t>Unexpected Loss (UL)</t>
  </si>
  <si>
    <t>UL = EAD × LGD × √(PD × (1-PD))  — The volatility around the expected loss.</t>
  </si>
  <si>
    <t>Regulatory Capital (RC)</t>
  </si>
  <si>
    <t>RC = Risk-Weighted Assets × 8%  (Minimum Capital Adequacy Ratio under Basel II)</t>
  </si>
  <si>
    <t>PD — Prob. of Default</t>
  </si>
  <si>
    <t>Probability that a borrower will default within a 1-year horizon.</t>
  </si>
  <si>
    <t>LGD — Loss Given Default</t>
  </si>
  <si>
    <t>Fraction of exposure lost if the borrower defaults. (1 - Recovery Rate)</t>
  </si>
  <si>
    <t>EAD — Exposure at Default</t>
  </si>
  <si>
    <t>Outstanding loan balance at the time of default.</t>
  </si>
  <si>
    <t>Risk Weight (RW)</t>
  </si>
  <si>
    <t>Basel II standard weights: Corporate 100%, Retail 75%, Mortgage 35%, Sovereign 0%</t>
  </si>
  <si>
    <t>MODEL ASSUMPTIONS &amp; PARAMETERS</t>
  </si>
  <si>
    <t>A.  PROBABILITY OF DEFAULT (PD) BY CREDIT RATING</t>
  </si>
  <si>
    <t>Rating Grade</t>
  </si>
  <si>
    <t>Rating Label</t>
  </si>
  <si>
    <t>Basel II PD (%)</t>
  </si>
  <si>
    <t>S&amp;P Equivalent</t>
  </si>
  <si>
    <t>Description</t>
  </si>
  <si>
    <t>Source</t>
  </si>
  <si>
    <t>AAA</t>
  </si>
  <si>
    <t>Investment Grade — Prime</t>
  </si>
  <si>
    <t>Highest quality, near-zero default risk</t>
  </si>
  <si>
    <t>Source: GARP FRM Part II / Basel II IRB Guidelines</t>
  </si>
  <si>
    <t>AA</t>
  </si>
  <si>
    <t>Investment Grade — High</t>
  </si>
  <si>
    <t>Very high quality, minimal risk</t>
  </si>
  <si>
    <t>A</t>
  </si>
  <si>
    <t>Investment Grade — Upper-Mid</t>
  </si>
  <si>
    <t>Strong capacity to meet obligations</t>
  </si>
  <si>
    <t>BBB</t>
  </si>
  <si>
    <t>Investment Grade — Lower-Mid</t>
  </si>
  <si>
    <t>Adequate capacity, somewhat exposed</t>
  </si>
  <si>
    <t>BB</t>
  </si>
  <si>
    <t>Speculative Grade — Upper</t>
  </si>
  <si>
    <t>Less vulnerable, faces major uncertainties</t>
  </si>
  <si>
    <t>B</t>
  </si>
  <si>
    <t>Speculative Grade — Mid</t>
  </si>
  <si>
    <t>Vulnerable, currently able to meet obligations</t>
  </si>
  <si>
    <t>CCC</t>
  </si>
  <si>
    <t>Speculative Grade — Lower</t>
  </si>
  <si>
    <t>Currently vulnerable to nonpayment</t>
  </si>
  <si>
    <t>D</t>
  </si>
  <si>
    <t>Default</t>
  </si>
  <si>
    <t>In default or breach of obligation</t>
  </si>
  <si>
    <t>B.  LOSS GIVEN DEFAULT (LGD) BY ASSET CLASS</t>
  </si>
  <si>
    <t>Asset Class</t>
  </si>
  <si>
    <t>LGD (%)</t>
  </si>
  <si>
    <t>Recovery Rate (%)</t>
  </si>
  <si>
    <t>Basel II RW (%)</t>
  </si>
  <si>
    <t>Seniority</t>
  </si>
  <si>
    <t>Note</t>
  </si>
  <si>
    <t>Senior Secured Loan</t>
  </si>
  <si>
    <t>Senior Secured</t>
  </si>
  <si>
    <t>Standard corporate — secured</t>
  </si>
  <si>
    <t>Senior Unsecured Loan</t>
  </si>
  <si>
    <t>Senior Unsecured</t>
  </si>
  <si>
    <t>Standard corporate — unsecured</t>
  </si>
  <si>
    <t>Subordinated Debt</t>
  </si>
  <si>
    <t>Subordinated</t>
  </si>
  <si>
    <t>Higher loss on default</t>
  </si>
  <si>
    <t>Residential Mortgage</t>
  </si>
  <si>
    <t>Basel II preferential weight</t>
  </si>
  <si>
    <t>Retail — Credit Card</t>
  </si>
  <si>
    <t>Unsecured Retail</t>
  </si>
  <si>
    <t>Revolving retail exposure</t>
  </si>
  <si>
    <t>Retail — Personal Loan</t>
  </si>
  <si>
    <t>Term retail exposure</t>
  </si>
  <si>
    <t>Sovereign (India AAA)</t>
  </si>
  <si>
    <t>Senior</t>
  </si>
  <si>
    <t>Sovereign preferential weight</t>
  </si>
  <si>
    <t>C.  SCENARIO STRESS MULTIPLIERS  (applied in Scenario Analysis sheet)</t>
  </si>
  <si>
    <t>Scenario</t>
  </si>
  <si>
    <t>PD Multiplier</t>
  </si>
  <si>
    <t>LGD Multiplier</t>
  </si>
  <si>
    <t>Normal (Base Case)</t>
  </si>
  <si>
    <t>Current economic environment — use actual PDs and LGDs</t>
  </si>
  <si>
    <t>Recession</t>
  </si>
  <si>
    <t>Moderate downturn; PDs rise 2.5x, LGDs deteriorate 20%</t>
  </si>
  <si>
    <t>Severe Stress</t>
  </si>
  <si>
    <t>Severe financial crisis (e.g. 2008-style); PDs rise 5x</t>
  </si>
  <si>
    <t>D.  CAPITAL ADEQUACY PARAMETERS</t>
  </si>
  <si>
    <t>Minimum CAR (Basel II)</t>
  </si>
  <si>
    <t>8% of Risk-Weighted Assets (Pillar 1 minimum)</t>
  </si>
  <si>
    <t>Conservation Buffer</t>
  </si>
  <si>
    <t>Added under Basel III — total 10.5% with Tier 1</t>
  </si>
  <si>
    <t>Total Required Capital Ratio</t>
  </si>
  <si>
    <t>Combined minimum under Basel II/III</t>
  </si>
  <si>
    <t>LOAN BOOK — INDIVIDUAL LOAN CALCULATIONS</t>
  </si>
  <si>
    <t>Blue = Input (changeable)  |  Black = Formula  |  All monetary values in INR (Lakhs)</t>
  </si>
  <si>
    <t>#</t>
  </si>
  <si>
    <t>Borrower Name</t>
  </si>
  <si>
    <t>Sector</t>
  </si>
  <si>
    <t>Rating</t>
  </si>
  <si>
    <t>EAD (₹ Lakhs)</t>
  </si>
  <si>
    <t>PD (%)</t>
  </si>
  <si>
    <t>RW (%)</t>
  </si>
  <si>
    <t>Expected Loss
(₹ Lakhs)</t>
  </si>
  <si>
    <t>Unexpected Loss
(₹ Lakhs)</t>
  </si>
  <si>
    <t>Risk-Weighted
Assets (₹ L)</t>
  </si>
  <si>
    <t>Reg. Capital
Required (₹ L)</t>
  </si>
  <si>
    <t>EL as % EAD</t>
  </si>
  <si>
    <t>Capital
Adequacy %</t>
  </si>
  <si>
    <t>Tata Steel Ltd</t>
  </si>
  <si>
    <t>Metals &amp; Mining</t>
  </si>
  <si>
    <t>Reliance Retail</t>
  </si>
  <si>
    <t>Consumer/Retail</t>
  </si>
  <si>
    <t>HDFC Home Loans</t>
  </si>
  <si>
    <t>Mortgage</t>
  </si>
  <si>
    <t>IndiGo Airlines</t>
  </si>
  <si>
    <t>Aviation</t>
  </si>
  <si>
    <t>Ramesh Sharma</t>
  </si>
  <si>
    <t>Retail</t>
  </si>
  <si>
    <t>Priya Kapoor</t>
  </si>
  <si>
    <t>Adani Ports</t>
  </si>
  <si>
    <t>Infrastructure</t>
  </si>
  <si>
    <t>Yes Bank Ltd</t>
  </si>
  <si>
    <t>Banking (NBFC)</t>
  </si>
  <si>
    <t>Govt of India Bond</t>
  </si>
  <si>
    <t>Sovereign</t>
  </si>
  <si>
    <t>Vedanta Resources</t>
  </si>
  <si>
    <t>Godrej Properties</t>
  </si>
  <si>
    <t>Real Estate</t>
  </si>
  <si>
    <t>Zomato Ltd</t>
  </si>
  <si>
    <t>Technology/Food</t>
  </si>
  <si>
    <t>Kotak Mahindra Bank</t>
  </si>
  <si>
    <t>Banking</t>
  </si>
  <si>
    <t>Rahul Verma</t>
  </si>
  <si>
    <t>ONGC Ltd</t>
  </si>
  <si>
    <t>Energy/PSU</t>
  </si>
  <si>
    <t>PORTFOLIO TOTALS</t>
  </si>
  <si>
    <t>SCENARIO ANALYSIS — STRESS TESTING</t>
  </si>
  <si>
    <t>Applies PD &amp; LGD multipliers from Assumptions sheet  |  Compares Normal vs Recession vs Severe Stress</t>
  </si>
  <si>
    <t>Borrower</t>
  </si>
  <si>
    <t>EAD (₹ L)</t>
  </si>
  <si>
    <t>Normal EL</t>
  </si>
  <si>
    <t>Normal Cap.</t>
  </si>
  <si>
    <t>Recession EL</t>
  </si>
  <si>
    <t>Recession Cap.</t>
  </si>
  <si>
    <t>Severe EL</t>
  </si>
  <si>
    <t>Severe Cap.</t>
  </si>
  <si>
    <t>EL Increase
(Normal→Severe)</t>
  </si>
  <si>
    <t>SCENARIO SUMMARY — PORTFOLIO LEVEL</t>
  </si>
  <si>
    <t>Total EL (₹ L)</t>
  </si>
  <si>
    <t>EL as % Portfolio</t>
  </si>
  <si>
    <t>Total Reg. Capital</t>
  </si>
  <si>
    <t>Capital Ratio</t>
  </si>
  <si>
    <t>Stress Colour</t>
  </si>
  <si>
    <t>Normal</t>
  </si>
  <si>
    <t>✓ Base Case</t>
  </si>
  <si>
    <t>⚠ Elevated Stress</t>
  </si>
  <si>
    <t>✗ Severe Stress</t>
  </si>
  <si>
    <t>PORTFOLIO RISK SUMMARY — KEY METRICS</t>
  </si>
  <si>
    <t>A.  PORTFOLIO KEY RISK INDICATORS</t>
  </si>
  <si>
    <t>Total Portfolio EAD (₹ Lakhs)</t>
  </si>
  <si>
    <t>Sum of all outstanding loan balances in the portfolio</t>
  </si>
  <si>
    <t>Total Expected Loss (₹ Lakhs)</t>
  </si>
  <si>
    <t>Average loss expected annually; held as provisions</t>
  </si>
  <si>
    <t>Total Unexpected Loss (₹ Lakhs)</t>
  </si>
  <si>
    <t>Standard deviation of loss; basis for economic capital</t>
  </si>
  <si>
    <t>Total Risk-Weighted Assets (₹ L)</t>
  </si>
  <si>
    <t>EAD weighted by Basel II risk weights by asset class</t>
  </si>
  <si>
    <t>Total Regulatory Capital (₹ L)</t>
  </si>
  <si>
    <t>Minimum capital buffer required under Basel II Pillar 1</t>
  </si>
  <si>
    <t>Portfolio EL Rate (EL/EAD)</t>
  </si>
  <si>
    <t>EL / EAD — lower is better; benchmark &lt; 1% for investment grade</t>
  </si>
  <si>
    <t>Portfolio Capital Ratio</t>
  </si>
  <si>
    <t>Reg. Capital / EAD — should exceed 8% CAR minimum</t>
  </si>
  <si>
    <t>Number of Loans</t>
  </si>
  <si>
    <t>Total active positions in the loan book</t>
  </si>
  <si>
    <t>B.  SCENARIO COMPARISON — EXPECTED LOSS</t>
  </si>
  <si>
    <t>EL (₹ Lakhs)</t>
  </si>
  <si>
    <t>EL / EAD</t>
  </si>
  <si>
    <t>Reg. Capital</t>
  </si>
  <si>
    <t>EL Increase vs Normal</t>
  </si>
  <si>
    <t>Status</t>
  </si>
  <si>
    <t>—</t>
  </si>
  <si>
    <t>Base Case</t>
  </si>
  <si>
    <t>Elevated</t>
  </si>
  <si>
    <t>Critical</t>
  </si>
  <si>
    <t>C.  REGULATORY INTERPRETATION — BASEL II</t>
  </si>
  <si>
    <t>Expected Loss Treatment</t>
  </si>
  <si>
    <t>Under Basel II, EL is typically covered by loan-loss PROVISIONS (P&amp;L charge). The bank is required to hold provisions ≥ EL for IRB portfolios.</t>
  </si>
  <si>
    <t>Unexpected Loss Treatment</t>
  </si>
  <si>
    <t>UL is covered by REGULATORY CAPITAL (equity). The minimum Tier 1 + Tier 2 capital must cover RWA × 8% (Pillar 1 requirement).</t>
  </si>
  <si>
    <t>Risk-Weighted Assets (RWA)</t>
  </si>
  <si>
    <t>RWA = EAD × Risk Weight. Sovereign (0%), Mortgages (35%), Retail (75%), Corporate (100%). Lower RW = less capital needed.</t>
  </si>
  <si>
    <t>Capital Adequacy Ratio (CAR)</t>
  </si>
  <si>
    <t>CAR = Eligible Capital / RWA ≥ 8%. Banks with lower RWA (e.g. mortgage-heavy books) need less absolute capital for same exposure.</t>
  </si>
  <si>
    <t>Stress Testing Implication</t>
  </si>
  <si>
    <t>In recession scenario, EL rises ~2.5x. This tests whether current provisions and capital buffers are sufficient under adverse conditions.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</si>
</sst>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\x"/>
    <numFmt numFmtId="165" formatCode="0.0%"/>
    <numFmt numFmtId="166" formatCode="0.000%"/>
  </numFmts>
  <fonts count="22" x14ac:knownFonts="1">
    <font>
      <sz val="11"/>
      <color theme="1"/>
      <name val="Calibri"/>
      <family val="2"/>
      <charset val="1"/>
    </font>
    <font>
      <b/>
      <sz val="22"/>
      <color rgb="FFFFFFFF"/>
      <name val="Arial"/>
      <family val="2"/>
    </font>
    <font>
      <i/>
      <sz val="12"/>
      <color rgb="FFC9A84C"/>
      <name val="Arial"/>
      <family val="2"/>
    </font>
    <font>
      <sz val="10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1B2A4A"/>
      <name val="Arial"/>
      <family val="2"/>
    </font>
    <font>
      <sz val="10"/>
      <color rgb="FF444444"/>
      <name val="Arial"/>
      <family val="2"/>
    </font>
    <font>
      <b/>
      <sz val="9"/>
      <color rgb="FF0000FF"/>
      <name val="Arial"/>
      <family val="2"/>
    </font>
    <font>
      <sz val="9"/>
      <name val="Arial"/>
      <family val="2"/>
    </font>
    <font>
      <b/>
      <sz val="9"/>
      <color rgb="FF000000"/>
      <name val="Arial"/>
      <family val="2"/>
    </font>
    <font>
      <b/>
      <sz val="9"/>
      <color rgb="FF006400"/>
      <name val="Arial"/>
      <family val="2"/>
    </font>
    <font>
      <b/>
      <sz val="9"/>
      <color rgb="FF1B2A4A"/>
      <name val="Arial"/>
      <family val="2"/>
    </font>
    <font>
      <b/>
      <sz val="13"/>
      <color rgb="FFFFFFFF"/>
      <name val="Arial"/>
      <family val="2"/>
    </font>
    <font>
      <b/>
      <sz val="9"/>
      <color rgb="FFFFFFFF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0"/>
      <color rgb="FF000000"/>
      <name val="Arial"/>
      <family val="2"/>
    </font>
    <font>
      <sz val="10"/>
      <color rgb="FF006400"/>
      <name val="Arial"/>
      <family val="2"/>
    </font>
    <font>
      <b/>
      <sz val="12"/>
      <color rgb="FF006400"/>
      <name val="Arial"/>
      <family val="2"/>
    </font>
    <font>
      <sz val="10"/>
      <color rgb="FF888888"/>
      <name val="Arial"/>
      <family val="2"/>
    </font>
    <font>
      <sz val="9"/>
      <color rgb="FF555555"/>
      <name val="Arial"/>
      <family val="2"/>
    </font>
    <font>
      <sz val="10"/>
      <color rgb="FF555555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DF3DC"/>
        <bgColor rgb="FFFFF8E1"/>
      </patternFill>
    </fill>
    <fill>
      <patternFill patternType="solid">
        <fgColor rgb="FFD6E4F0"/>
        <bgColor rgb="FFE8F5E9"/>
      </patternFill>
    </fill>
    <fill>
      <patternFill patternType="solid">
        <fgColor rgb="FFFFFFFF"/>
        <bgColor rgb="FFFFFFF0"/>
      </patternFill>
    </fill>
    <fill>
      <patternFill patternType="solid">
        <fgColor rgb="FFF5F5F5"/>
        <bgColor rgb="FFE8F5E9"/>
      </patternFill>
    </fill>
    <fill>
      <patternFill patternType="solid">
        <fgColor rgb="FFFFFF00"/>
        <bgColor rgb="FFFFFF00"/>
      </patternFill>
    </fill>
    <fill>
      <patternFill patternType="solid">
        <fgColor rgb="FFFFFFF0"/>
        <bgColor rgb="FFFFFFFF"/>
      </patternFill>
    </fill>
    <fill>
      <patternFill patternType="solid">
        <fgColor rgb="FFE8F5E9"/>
        <bgColor rgb="FFF5F5F5"/>
      </patternFill>
    </fill>
    <fill>
      <patternFill patternType="solid">
        <fgColor rgb="FFFFF8E1"/>
        <bgColor rgb="FFFDF3DC"/>
      </patternFill>
    </fill>
    <fill>
      <patternFill patternType="solid">
        <fgColor rgb="FFFFEBEE"/>
        <bgColor rgb="FFFDF3DC"/>
      </patternFill>
    </fill>
    <fill>
      <patternFill patternType="solid">
        <fgColor rgb="FFC9A84C"/>
        <bgColor rgb="FFAAAAAA"/>
      </patternFill>
    </fill>
    <fill>
      <patternFill patternType="solid">
        <fgColor rgb="FFFFF3CD"/>
        <bgColor rgb="FFFDF3DC"/>
      </patternFill>
    </fill>
    <fill>
      <patternFill patternType="solid">
        <fgColor rgb="FFFFCDD2"/>
        <bgColor rgb="FFFFEBEE"/>
      </patternFill>
    </fill>
  </fills>
  <borders count="3">
    <border>
      <left/>
      <right/>
      <top/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4" fillId="11" borderId="1" xfId="0" applyFont="1" applyFill="1" applyBorder="1" applyAlignment="1">
      <alignment horizontal="left" vertical="center"/>
    </xf>
    <xf numFmtId="0" fontId="14" fillId="10" borderId="1" xfId="0" applyFont="1" applyFill="1" applyBorder="1" applyAlignment="1">
      <alignment horizontal="left" vertical="center"/>
    </xf>
    <xf numFmtId="0" fontId="14" fillId="9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vertical="center"/>
    </xf>
    <xf numFmtId="0" fontId="8" fillId="6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0" fillId="0" borderId="0" xfId="0" applyAlignment="1"/>
    <xf numFmtId="0" fontId="5" fillId="3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7" fillId="5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left" vertical="center"/>
    </xf>
    <xf numFmtId="0" fontId="13" fillId="2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left" vertical="center"/>
    </xf>
    <xf numFmtId="10" fontId="15" fillId="8" borderId="2" xfId="0" applyNumberFormat="1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left" vertical="center"/>
    </xf>
    <xf numFmtId="0" fontId="14" fillId="4" borderId="2" xfId="0" applyFont="1" applyFill="1" applyBorder="1" applyAlignment="1">
      <alignment horizontal="center" vertical="center"/>
    </xf>
    <xf numFmtId="9" fontId="15" fillId="8" borderId="2" xfId="0" applyNumberFormat="1" applyFont="1" applyFill="1" applyBorder="1" applyAlignment="1">
      <alignment horizontal="center" vertical="center"/>
    </xf>
    <xf numFmtId="9" fontId="14" fillId="3" borderId="2" xfId="0" applyNumberFormat="1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9" fontId="14" fillId="5" borderId="2" xfId="0" applyNumberFormat="1" applyFont="1" applyFill="1" applyBorder="1" applyAlignment="1">
      <alignment horizontal="center" vertical="center"/>
    </xf>
    <xf numFmtId="0" fontId="16" fillId="9" borderId="2" xfId="0" applyFont="1" applyFill="1" applyBorder="1" applyAlignment="1">
      <alignment horizontal="left" vertical="center"/>
    </xf>
    <xf numFmtId="164" fontId="15" fillId="8" borderId="2" xfId="0" applyNumberFormat="1" applyFont="1" applyFill="1" applyBorder="1" applyAlignment="1">
      <alignment horizontal="center" vertical="center"/>
    </xf>
    <xf numFmtId="0" fontId="16" fillId="10" borderId="2" xfId="0" applyFont="1" applyFill="1" applyBorder="1" applyAlignment="1">
      <alignment horizontal="left" vertical="center"/>
    </xf>
    <xf numFmtId="0" fontId="16" fillId="11" borderId="2" xfId="0" applyFont="1" applyFill="1" applyBorder="1" applyAlignment="1">
      <alignment horizontal="left" vertical="center"/>
    </xf>
    <xf numFmtId="165" fontId="15" fillId="7" borderId="2" xfId="0" applyNumberFormat="1" applyFont="1" applyFill="1" applyBorder="1" applyAlignment="1">
      <alignment horizontal="center" vertical="center"/>
    </xf>
    <xf numFmtId="165" fontId="14" fillId="5" borderId="2" xfId="0" applyNumberFormat="1" applyFont="1" applyFill="1" applyBorder="1" applyAlignment="1">
      <alignment horizontal="center" vertical="center"/>
    </xf>
    <xf numFmtId="4" fontId="15" fillId="8" borderId="2" xfId="0" applyNumberFormat="1" applyFont="1" applyFill="1" applyBorder="1" applyAlignment="1">
      <alignment horizontal="right" vertical="center"/>
    </xf>
    <xf numFmtId="4" fontId="14" fillId="4" borderId="2" xfId="0" applyNumberFormat="1" applyFont="1" applyFill="1" applyBorder="1" applyAlignment="1">
      <alignment horizontal="right" vertical="center"/>
    </xf>
    <xf numFmtId="166" fontId="14" fillId="4" borderId="2" xfId="0" applyNumberFormat="1" applyFont="1" applyFill="1" applyBorder="1" applyAlignment="1">
      <alignment horizontal="center" vertical="center"/>
    </xf>
    <xf numFmtId="10" fontId="14" fillId="4" borderId="2" xfId="0" applyNumberFormat="1" applyFont="1" applyFill="1" applyBorder="1" applyAlignment="1">
      <alignment horizontal="center" vertical="center"/>
    </xf>
    <xf numFmtId="4" fontId="14" fillId="5" borderId="2" xfId="0" applyNumberFormat="1" applyFont="1" applyFill="1" applyBorder="1" applyAlignment="1">
      <alignment horizontal="right" vertical="center"/>
    </xf>
    <xf numFmtId="166" fontId="14" fillId="5" borderId="2" xfId="0" applyNumberFormat="1" applyFont="1" applyFill="1" applyBorder="1" applyAlignment="1">
      <alignment horizontal="center" vertical="center"/>
    </xf>
    <xf numFmtId="10" fontId="14" fillId="5" borderId="2" xfId="0" applyNumberFormat="1" applyFont="1" applyFill="1" applyBorder="1" applyAlignment="1">
      <alignment horizontal="center" vertical="center"/>
    </xf>
    <xf numFmtId="4" fontId="4" fillId="2" borderId="2" xfId="0" applyNumberFormat="1" applyFont="1" applyFill="1" applyBorder="1" applyAlignment="1">
      <alignment horizontal="right" vertical="center"/>
    </xf>
    <xf numFmtId="0" fontId="0" fillId="2" borderId="2" xfId="0" applyFill="1" applyBorder="1" applyAlignment="1"/>
    <xf numFmtId="166" fontId="4" fillId="2" borderId="2" xfId="0" applyNumberFormat="1" applyFont="1" applyFill="1" applyBorder="1" applyAlignment="1">
      <alignment horizontal="right" vertical="center"/>
    </xf>
    <xf numFmtId="10" fontId="4" fillId="2" borderId="2" xfId="0" applyNumberFormat="1" applyFont="1" applyFill="1" applyBorder="1" applyAlignment="1">
      <alignment horizontal="right" vertical="center"/>
    </xf>
    <xf numFmtId="4" fontId="17" fillId="4" borderId="2" xfId="0" applyNumberFormat="1" applyFont="1" applyFill="1" applyBorder="1" applyAlignment="1">
      <alignment horizontal="right" vertical="center"/>
    </xf>
    <xf numFmtId="4" fontId="14" fillId="10" borderId="2" xfId="0" applyNumberFormat="1" applyFont="1" applyFill="1" applyBorder="1" applyAlignment="1">
      <alignment horizontal="right" vertical="center"/>
    </xf>
    <xf numFmtId="4" fontId="14" fillId="11" borderId="2" xfId="0" applyNumberFormat="1" applyFont="1" applyFill="1" applyBorder="1" applyAlignment="1">
      <alignment horizontal="right" vertical="center"/>
    </xf>
    <xf numFmtId="4" fontId="17" fillId="5" borderId="2" xfId="0" applyNumberFormat="1" applyFont="1" applyFill="1" applyBorder="1" applyAlignment="1">
      <alignment horizontal="right" vertical="center"/>
    </xf>
    <xf numFmtId="4" fontId="14" fillId="13" borderId="2" xfId="0" applyNumberFormat="1" applyFont="1" applyFill="1" applyBorder="1" applyAlignment="1">
      <alignment horizontal="right" vertical="center"/>
    </xf>
    <xf numFmtId="4" fontId="14" fillId="14" borderId="2" xfId="0" applyNumberFormat="1" applyFont="1" applyFill="1" applyBorder="1" applyAlignment="1">
      <alignment horizontal="right" vertical="center"/>
    </xf>
    <xf numFmtId="4" fontId="14" fillId="9" borderId="2" xfId="0" applyNumberFormat="1" applyFont="1" applyFill="1" applyBorder="1" applyAlignment="1">
      <alignment horizontal="right" vertical="center"/>
    </xf>
    <xf numFmtId="166" fontId="14" fillId="9" borderId="2" xfId="0" applyNumberFormat="1" applyFont="1" applyFill="1" applyBorder="1" applyAlignment="1">
      <alignment horizontal="center" vertical="center"/>
    </xf>
    <xf numFmtId="10" fontId="14" fillId="9" borderId="2" xfId="0" applyNumberFormat="1" applyFont="1" applyFill="1" applyBorder="1" applyAlignment="1">
      <alignment horizontal="center" vertical="center"/>
    </xf>
    <xf numFmtId="166" fontId="14" fillId="10" borderId="2" xfId="0" applyNumberFormat="1" applyFont="1" applyFill="1" applyBorder="1" applyAlignment="1">
      <alignment horizontal="center" vertical="center"/>
    </xf>
    <xf numFmtId="10" fontId="14" fillId="10" borderId="2" xfId="0" applyNumberFormat="1" applyFont="1" applyFill="1" applyBorder="1" applyAlignment="1">
      <alignment horizontal="center" vertical="center"/>
    </xf>
    <xf numFmtId="166" fontId="14" fillId="11" borderId="2" xfId="0" applyNumberFormat="1" applyFont="1" applyFill="1" applyBorder="1" applyAlignment="1">
      <alignment horizontal="center" vertical="center"/>
    </xf>
    <xf numFmtId="10" fontId="14" fillId="11" borderId="2" xfId="0" applyNumberFormat="1" applyFont="1" applyFill="1" applyBorder="1" applyAlignment="1">
      <alignment horizontal="center" vertical="center"/>
    </xf>
    <xf numFmtId="4" fontId="17" fillId="9" borderId="2" xfId="0" applyNumberFormat="1" applyFont="1" applyFill="1" applyBorder="1" applyAlignment="1">
      <alignment horizontal="right" vertical="center"/>
    </xf>
    <xf numFmtId="166" fontId="17" fillId="9" borderId="2" xfId="0" applyNumberFormat="1" applyFont="1" applyFill="1" applyBorder="1" applyAlignment="1">
      <alignment horizontal="center" vertical="center"/>
    </xf>
    <xf numFmtId="0" fontId="14" fillId="9" borderId="2" xfId="0" applyFont="1" applyFill="1" applyBorder="1" applyAlignment="1">
      <alignment horizontal="center" vertical="center"/>
    </xf>
    <xf numFmtId="4" fontId="17" fillId="10" borderId="2" xfId="0" applyNumberFormat="1" applyFont="1" applyFill="1" applyBorder="1" applyAlignment="1">
      <alignment horizontal="right" vertical="center"/>
    </xf>
    <xf numFmtId="166" fontId="17" fillId="10" borderId="2" xfId="0" applyNumberFormat="1" applyFont="1" applyFill="1" applyBorder="1" applyAlignment="1">
      <alignment horizontal="center" vertical="center"/>
    </xf>
    <xf numFmtId="4" fontId="17" fillId="11" borderId="2" xfId="0" applyNumberFormat="1" applyFont="1" applyFill="1" applyBorder="1" applyAlignment="1">
      <alignment horizontal="right" vertical="center"/>
    </xf>
    <xf numFmtId="166" fontId="17" fillId="11" borderId="2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11" fillId="12" borderId="1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left" vertical="center"/>
    </xf>
    <xf numFmtId="0" fontId="16" fillId="10" borderId="1" xfId="0" applyFont="1" applyFill="1" applyBorder="1" applyAlignment="1">
      <alignment horizontal="left" vertical="center"/>
    </xf>
    <xf numFmtId="0" fontId="16" fillId="11" borderId="1" xfId="0" applyFont="1" applyFill="1" applyBorder="1" applyAlignment="1">
      <alignment horizontal="left" vertical="center"/>
    </xf>
    <xf numFmtId="4" fontId="18" fillId="8" borderId="1" xfId="0" applyNumberFormat="1" applyFont="1" applyFill="1" applyBorder="1" applyAlignment="1">
      <alignment horizontal="center" vertical="center"/>
    </xf>
    <xf numFmtId="166" fontId="18" fillId="8" borderId="1" xfId="0" applyNumberFormat="1" applyFont="1" applyFill="1" applyBorder="1" applyAlignment="1">
      <alignment horizontal="center" vertical="center"/>
    </xf>
    <xf numFmtId="10" fontId="18" fillId="8" borderId="1" xfId="0" applyNumberFormat="1" applyFont="1" applyFill="1" applyBorder="1" applyAlignment="1">
      <alignment horizontal="center" vertical="center"/>
    </xf>
    <xf numFmtId="1" fontId="18" fillId="8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vertical="center" wrapText="1"/>
    </xf>
    <xf numFmtId="0" fontId="19" fillId="5" borderId="2" xfId="0" applyFont="1" applyFill="1" applyBorder="1" applyAlignment="1">
      <alignment horizontal="left" vertical="center"/>
    </xf>
    <xf numFmtId="0" fontId="19" fillId="4" borderId="2" xfId="0" applyFont="1" applyFill="1" applyBorder="1" applyAlignment="1">
      <alignment horizontal="left" vertical="center"/>
    </xf>
    <xf numFmtId="0" fontId="19" fillId="3" borderId="2" xfId="0" applyFont="1" applyFill="1" applyBorder="1" applyAlignment="1">
      <alignment horizontal="left" vertical="center"/>
    </xf>
    <xf numFmtId="0" fontId="20" fillId="4" borderId="1" xfId="0" applyFont="1" applyFill="1" applyBorder="1" applyAlignment="1">
      <alignment vertical="center"/>
    </xf>
    <xf numFmtId="0" fontId="20" fillId="3" borderId="1" xfId="0" applyFont="1" applyFill="1" applyBorder="1" applyAlignment="1">
      <alignment vertical="center"/>
    </xf>
    <xf numFmtId="0" fontId="21" fillId="5" borderId="1" xfId="0" applyFont="1" applyFill="1" applyBorder="1" applyAlignment="1">
      <alignment horizontal="left" vertical="center"/>
    </xf>
    <xf numFmtId="0" fontId="21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400"/>
      <rgbColor rgb="FF000080"/>
      <rgbColor rgb="FF808000"/>
      <rgbColor rgb="FF800080"/>
      <rgbColor rgb="FF008080"/>
      <rgbColor rgb="FFFFEBEE"/>
      <rgbColor rgb="FF888888"/>
      <rgbColor rgb="FF9999FF"/>
      <rgbColor rgb="FF993366"/>
      <rgbColor rgb="FFFFF8E1"/>
      <rgbColor rgb="FFE8F5E9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FDF3DC"/>
      <rgbColor rgb="FFFFF3CD"/>
      <rgbColor rgb="FFFFFFF0"/>
      <rgbColor rgb="FFFF99CC"/>
      <rgbColor rgb="FFCC99FF"/>
      <rgbColor rgb="FFFFCDD2"/>
      <rgbColor rgb="FF3366FF"/>
      <rgbColor rgb="FF33CCCC"/>
      <rgbColor rgb="FF99CC00"/>
      <rgbColor rgb="FFFFCC00"/>
      <rgbColor rgb="FFC9A84C"/>
      <rgbColor rgb="FFFF6600"/>
      <rgbColor rgb="FF555555"/>
      <rgbColor rgb="FFAAAAAA"/>
      <rgbColor rgb="FF003366"/>
      <rgbColor rgb="FF339966"/>
      <rgbColor rgb="FF003300"/>
      <rgbColor rgb="FF444444"/>
      <rgbColor rgb="FF993300"/>
      <rgbColor rgb="FF993366"/>
      <rgbColor rgb="FF333399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showGridLines="0" topLeftCell="A7" zoomScaleNormal="100" workbookViewId="0">
      <selection activeCell="K6" sqref="K6"/>
    </sheetView>
  </sheetViews>
  <sheetFormatPr defaultColWidth="8.6640625" defaultRowHeight="14.4" x14ac:dyDescent="0.3"/>
  <cols>
    <col min="1" max="1" width="2" style="13" customWidth="1"/>
    <col min="2" max="2" width="22" style="13" customWidth="1"/>
    <col min="3" max="3" width="14" style="13" customWidth="1"/>
    <col min="4" max="9" width="10" style="13" customWidth="1"/>
    <col min="10" max="10" width="14" style="13" customWidth="1"/>
  </cols>
  <sheetData>
    <row r="1" spans="2:10" ht="7.5" customHeight="1" x14ac:dyDescent="0.3"/>
    <row r="2" spans="2:10" ht="42" customHeight="1" x14ac:dyDescent="0.3">
      <c r="B2" s="12" t="s">
        <v>0</v>
      </c>
      <c r="C2" s="12"/>
      <c r="D2" s="12"/>
      <c r="E2" s="12"/>
      <c r="F2" s="12"/>
      <c r="G2" s="12"/>
      <c r="H2" s="12"/>
      <c r="I2" s="12"/>
      <c r="J2" s="12"/>
    </row>
    <row r="3" spans="2:10" ht="24" customHeight="1" x14ac:dyDescent="0.3">
      <c r="B3" s="11" t="s">
        <v>1</v>
      </c>
      <c r="C3" s="11"/>
      <c r="D3" s="11"/>
      <c r="E3" s="11"/>
      <c r="F3" s="11"/>
      <c r="G3" s="11"/>
      <c r="H3" s="11"/>
      <c r="I3" s="11"/>
      <c r="J3" s="11"/>
    </row>
    <row r="4" spans="2:10" ht="19.5" customHeight="1" x14ac:dyDescent="0.3">
      <c r="B4" s="10"/>
      <c r="C4" s="10"/>
      <c r="D4" s="10"/>
      <c r="E4" s="10"/>
      <c r="F4" s="10"/>
      <c r="G4" s="10"/>
      <c r="H4" s="10"/>
      <c r="I4" s="10"/>
      <c r="J4" s="10"/>
    </row>
    <row r="5" spans="2:10" ht="9.75" customHeight="1" x14ac:dyDescent="0.3"/>
    <row r="6" spans="2:10" ht="21.75" customHeight="1" x14ac:dyDescent="0.3">
      <c r="B6" s="9" t="s">
        <v>2</v>
      </c>
      <c r="C6" s="9"/>
      <c r="D6" s="9"/>
      <c r="E6" s="9"/>
      <c r="F6" s="9"/>
      <c r="G6" s="9"/>
      <c r="H6" s="9"/>
      <c r="I6" s="9"/>
      <c r="J6" s="9"/>
    </row>
    <row r="7" spans="2:10" ht="19.5" customHeight="1" x14ac:dyDescent="0.3">
      <c r="B7" s="14" t="s">
        <v>3</v>
      </c>
      <c r="C7" s="8" t="s">
        <v>4</v>
      </c>
      <c r="D7" s="8"/>
      <c r="E7" s="8"/>
      <c r="F7" s="8"/>
      <c r="G7" s="8"/>
      <c r="H7" s="8"/>
      <c r="I7" s="8"/>
      <c r="J7" s="8"/>
    </row>
    <row r="8" spans="2:10" ht="19.5" customHeight="1" x14ac:dyDescent="0.3">
      <c r="B8" s="15" t="s">
        <v>5</v>
      </c>
      <c r="C8" s="7" t="s">
        <v>6</v>
      </c>
      <c r="D8" s="7"/>
      <c r="E8" s="7"/>
      <c r="F8" s="7"/>
      <c r="G8" s="7"/>
      <c r="H8" s="7"/>
      <c r="I8" s="7"/>
      <c r="J8" s="7"/>
    </row>
    <row r="9" spans="2:10" ht="19.5" customHeight="1" x14ac:dyDescent="0.3">
      <c r="B9" s="14" t="s">
        <v>7</v>
      </c>
      <c r="C9" s="8" t="s">
        <v>8</v>
      </c>
      <c r="D9" s="8"/>
      <c r="E9" s="8"/>
      <c r="F9" s="8"/>
      <c r="G9" s="8"/>
      <c r="H9" s="8"/>
      <c r="I9" s="8"/>
      <c r="J9" s="8"/>
    </row>
    <row r="10" spans="2:10" ht="19.5" customHeight="1" x14ac:dyDescent="0.3">
      <c r="B10" s="15" t="s">
        <v>9</v>
      </c>
      <c r="C10" s="7" t="s">
        <v>10</v>
      </c>
      <c r="D10" s="7"/>
      <c r="E10" s="7"/>
      <c r="F10" s="7"/>
      <c r="G10" s="7"/>
      <c r="H10" s="7"/>
      <c r="I10" s="7"/>
      <c r="J10" s="7"/>
    </row>
    <row r="11" spans="2:10" ht="9.75" customHeight="1" x14ac:dyDescent="0.3"/>
    <row r="12" spans="2:10" ht="21.75" customHeight="1" x14ac:dyDescent="0.3">
      <c r="B12" s="9" t="s">
        <v>11</v>
      </c>
      <c r="C12" s="9"/>
      <c r="D12" s="9"/>
      <c r="E12" s="9"/>
      <c r="F12" s="9"/>
      <c r="G12" s="9"/>
      <c r="H12" s="9"/>
      <c r="I12" s="9"/>
      <c r="J12" s="9"/>
    </row>
    <row r="13" spans="2:10" ht="18" customHeight="1" x14ac:dyDescent="0.3">
      <c r="B13" s="16" t="s">
        <v>12</v>
      </c>
      <c r="C13" s="6" t="s">
        <v>13</v>
      </c>
      <c r="D13" s="6"/>
      <c r="E13" s="6"/>
      <c r="F13" s="6"/>
      <c r="G13" s="6"/>
      <c r="H13" s="6"/>
      <c r="I13" s="6"/>
      <c r="J13" s="6"/>
    </row>
    <row r="14" spans="2:10" ht="18" customHeight="1" x14ac:dyDescent="0.3">
      <c r="B14" s="17" t="s">
        <v>14</v>
      </c>
      <c r="C14" s="6" t="s">
        <v>15</v>
      </c>
      <c r="D14" s="6"/>
      <c r="E14" s="6"/>
      <c r="F14" s="6"/>
      <c r="G14" s="6"/>
      <c r="H14" s="6"/>
      <c r="I14" s="6"/>
      <c r="J14" s="6"/>
    </row>
    <row r="15" spans="2:10" ht="18" customHeight="1" x14ac:dyDescent="0.3">
      <c r="B15" s="18" t="s">
        <v>16</v>
      </c>
      <c r="C15" s="6" t="s">
        <v>17</v>
      </c>
      <c r="D15" s="6"/>
      <c r="E15" s="6"/>
      <c r="F15" s="6"/>
      <c r="G15" s="6"/>
      <c r="H15" s="6"/>
      <c r="I15" s="6"/>
      <c r="J15" s="6"/>
    </row>
    <row r="16" spans="2:10" ht="18" customHeight="1" x14ac:dyDescent="0.3">
      <c r="B16" s="19" t="s">
        <v>18</v>
      </c>
      <c r="C16" s="6" t="s">
        <v>19</v>
      </c>
      <c r="D16" s="6"/>
      <c r="E16" s="6"/>
      <c r="F16" s="6"/>
      <c r="G16" s="6"/>
      <c r="H16" s="6"/>
      <c r="I16" s="6"/>
      <c r="J16" s="6"/>
    </row>
    <row r="17" spans="2:10" ht="9.75" customHeight="1" x14ac:dyDescent="0.3"/>
    <row r="18" spans="2:10" ht="21.75" customHeight="1" x14ac:dyDescent="0.3">
      <c r="B18" s="9" t="s">
        <v>20</v>
      </c>
      <c r="C18" s="9"/>
      <c r="D18" s="9"/>
      <c r="E18" s="9"/>
      <c r="F18" s="9"/>
      <c r="G18" s="9"/>
      <c r="H18" s="9"/>
      <c r="I18" s="9"/>
      <c r="J18" s="9"/>
    </row>
    <row r="19" spans="2:10" ht="18" customHeight="1" x14ac:dyDescent="0.3">
      <c r="B19" s="20" t="s">
        <v>21</v>
      </c>
      <c r="C19" s="5" t="s">
        <v>22</v>
      </c>
      <c r="D19" s="5"/>
      <c r="E19" s="5"/>
      <c r="F19" s="5"/>
      <c r="G19" s="5"/>
      <c r="H19" s="5"/>
      <c r="I19" s="5"/>
      <c r="J19" s="5"/>
    </row>
    <row r="20" spans="2:10" ht="18" customHeight="1" x14ac:dyDescent="0.3">
      <c r="B20" s="20" t="s">
        <v>23</v>
      </c>
      <c r="C20" s="6" t="s">
        <v>24</v>
      </c>
      <c r="D20" s="6"/>
      <c r="E20" s="6"/>
      <c r="F20" s="6"/>
      <c r="G20" s="6"/>
      <c r="H20" s="6"/>
      <c r="I20" s="6"/>
      <c r="J20" s="6"/>
    </row>
    <row r="21" spans="2:10" ht="18" customHeight="1" x14ac:dyDescent="0.3">
      <c r="B21" s="20" t="s">
        <v>25</v>
      </c>
      <c r="C21" s="5" t="s">
        <v>26</v>
      </c>
      <c r="D21" s="5"/>
      <c r="E21" s="5"/>
      <c r="F21" s="5"/>
      <c r="G21" s="5"/>
      <c r="H21" s="5"/>
      <c r="I21" s="5"/>
      <c r="J21" s="5"/>
    </row>
    <row r="22" spans="2:10" ht="18" customHeight="1" x14ac:dyDescent="0.3">
      <c r="B22" s="20" t="s">
        <v>27</v>
      </c>
      <c r="C22" s="6" t="s">
        <v>28</v>
      </c>
      <c r="D22" s="6"/>
      <c r="E22" s="6"/>
      <c r="F22" s="6"/>
      <c r="G22" s="6"/>
      <c r="H22" s="6"/>
      <c r="I22" s="6"/>
      <c r="J22" s="6"/>
    </row>
    <row r="23" spans="2:10" ht="18" customHeight="1" x14ac:dyDescent="0.3">
      <c r="B23" s="20" t="s">
        <v>29</v>
      </c>
      <c r="C23" s="5" t="s">
        <v>30</v>
      </c>
      <c r="D23" s="5"/>
      <c r="E23" s="5"/>
      <c r="F23" s="5"/>
      <c r="G23" s="5"/>
      <c r="H23" s="5"/>
      <c r="I23" s="5"/>
      <c r="J23" s="5"/>
    </row>
    <row r="24" spans="2:10" ht="18" customHeight="1" x14ac:dyDescent="0.3">
      <c r="B24" s="20" t="s">
        <v>31</v>
      </c>
      <c r="C24" s="6" t="s">
        <v>32</v>
      </c>
      <c r="D24" s="6"/>
      <c r="E24" s="6"/>
      <c r="F24" s="6"/>
      <c r="G24" s="6"/>
      <c r="H24" s="6"/>
      <c r="I24" s="6"/>
      <c r="J24" s="6"/>
    </row>
    <row r="25" spans="2:10" ht="18" customHeight="1" x14ac:dyDescent="0.3">
      <c r="B25" s="20" t="s">
        <v>33</v>
      </c>
      <c r="C25" s="5" t="s">
        <v>34</v>
      </c>
      <c r="D25" s="5"/>
      <c r="E25" s="5"/>
      <c r="F25" s="5"/>
      <c r="G25" s="5"/>
      <c r="H25" s="5"/>
      <c r="I25" s="5"/>
      <c r="J25" s="5"/>
    </row>
  </sheetData>
  <mergeCells count="21">
    <mergeCell ref="C25:J25"/>
    <mergeCell ref="C20:J20"/>
    <mergeCell ref="C21:J21"/>
    <mergeCell ref="C22:J22"/>
    <mergeCell ref="C23:J23"/>
    <mergeCell ref="C24:J24"/>
    <mergeCell ref="C14:J14"/>
    <mergeCell ref="C15:J15"/>
    <mergeCell ref="C16:J16"/>
    <mergeCell ref="B18:J18"/>
    <mergeCell ref="C19:J19"/>
    <mergeCell ref="C8:J8"/>
    <mergeCell ref="C9:J9"/>
    <mergeCell ref="C10:J10"/>
    <mergeCell ref="B12:J12"/>
    <mergeCell ref="C13:J13"/>
    <mergeCell ref="B2:J2"/>
    <mergeCell ref="B3:J3"/>
    <mergeCell ref="B4:J4"/>
    <mergeCell ref="B6:J6"/>
    <mergeCell ref="C7:J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showGridLines="0" tabSelected="1" zoomScaleNormal="100" workbookViewId="0">
      <selection activeCell="K13" sqref="K13"/>
    </sheetView>
  </sheetViews>
  <sheetFormatPr defaultColWidth="8.6640625" defaultRowHeight="14.4" x14ac:dyDescent="0.3"/>
  <cols>
    <col min="1" max="1" width="2" style="13" customWidth="1"/>
    <col min="2" max="2" width="28" style="13" customWidth="1"/>
    <col min="3" max="3" width="30.33203125" style="13" customWidth="1"/>
    <col min="4" max="5" width="16" style="13" customWidth="1"/>
    <col min="6" max="6" width="33.77734375" style="13" customWidth="1"/>
    <col min="7" max="7" width="46.77734375" style="13" customWidth="1"/>
  </cols>
  <sheetData>
    <row r="1" spans="2:7" ht="7.5" customHeight="1" x14ac:dyDescent="0.3"/>
    <row r="2" spans="2:7" ht="36" customHeight="1" x14ac:dyDescent="0.3">
      <c r="B2" s="4" t="s">
        <v>35</v>
      </c>
      <c r="C2" s="4"/>
      <c r="D2" s="4"/>
      <c r="E2" s="4"/>
      <c r="F2" s="4"/>
      <c r="G2" s="4"/>
    </row>
    <row r="4" spans="2:7" ht="7.5" customHeight="1" x14ac:dyDescent="0.3"/>
    <row r="5" spans="2:7" ht="21.75" customHeight="1" x14ac:dyDescent="0.3">
      <c r="B5" s="9" t="s">
        <v>36</v>
      </c>
      <c r="C5" s="9"/>
      <c r="D5" s="9"/>
      <c r="E5" s="9"/>
      <c r="F5" s="9"/>
      <c r="G5" s="9"/>
    </row>
    <row r="6" spans="2:7" ht="27.75" customHeight="1" x14ac:dyDescent="0.3">
      <c r="B6" s="21" t="s">
        <v>37</v>
      </c>
      <c r="C6" s="21" t="s">
        <v>38</v>
      </c>
      <c r="D6" s="21" t="s">
        <v>39</v>
      </c>
      <c r="E6" s="21" t="s">
        <v>40</v>
      </c>
      <c r="F6" s="21" t="s">
        <v>41</v>
      </c>
      <c r="G6" s="21" t="s">
        <v>42</v>
      </c>
    </row>
    <row r="7" spans="2:7" ht="18" customHeight="1" x14ac:dyDescent="0.3">
      <c r="B7" s="22" t="s">
        <v>43</v>
      </c>
      <c r="C7" s="23" t="s">
        <v>44</v>
      </c>
      <c r="D7" s="24">
        <v>1E-4</v>
      </c>
      <c r="E7" s="25" t="s">
        <v>43</v>
      </c>
      <c r="F7" s="23" t="s">
        <v>45</v>
      </c>
      <c r="G7" s="83" t="s">
        <v>46</v>
      </c>
    </row>
    <row r="8" spans="2:7" ht="18" customHeight="1" x14ac:dyDescent="0.3">
      <c r="B8" s="26" t="s">
        <v>47</v>
      </c>
      <c r="C8" s="27" t="s">
        <v>48</v>
      </c>
      <c r="D8" s="24">
        <v>5.0000000000000001E-4</v>
      </c>
      <c r="E8" s="28" t="s">
        <v>47</v>
      </c>
      <c r="F8" s="27" t="s">
        <v>49</v>
      </c>
      <c r="G8" s="84" t="s">
        <v>46</v>
      </c>
    </row>
    <row r="9" spans="2:7" ht="18" customHeight="1" x14ac:dyDescent="0.3">
      <c r="B9" s="22" t="s">
        <v>50</v>
      </c>
      <c r="C9" s="23" t="s">
        <v>51</v>
      </c>
      <c r="D9" s="24">
        <v>1E-3</v>
      </c>
      <c r="E9" s="25" t="s">
        <v>50</v>
      </c>
      <c r="F9" s="23" t="s">
        <v>52</v>
      </c>
      <c r="G9" s="83" t="s">
        <v>46</v>
      </c>
    </row>
    <row r="10" spans="2:7" ht="18" customHeight="1" x14ac:dyDescent="0.3">
      <c r="B10" s="26" t="s">
        <v>53</v>
      </c>
      <c r="C10" s="27" t="s">
        <v>54</v>
      </c>
      <c r="D10" s="24">
        <v>2.5000000000000001E-3</v>
      </c>
      <c r="E10" s="28" t="s">
        <v>53</v>
      </c>
      <c r="F10" s="27" t="s">
        <v>55</v>
      </c>
      <c r="G10" s="84" t="s">
        <v>46</v>
      </c>
    </row>
    <row r="11" spans="2:7" ht="18" customHeight="1" x14ac:dyDescent="0.3">
      <c r="B11" s="22" t="s">
        <v>56</v>
      </c>
      <c r="C11" s="23" t="s">
        <v>57</v>
      </c>
      <c r="D11" s="24">
        <v>0.01</v>
      </c>
      <c r="E11" s="25" t="s">
        <v>56</v>
      </c>
      <c r="F11" s="23" t="s">
        <v>58</v>
      </c>
      <c r="G11" s="83" t="s">
        <v>46</v>
      </c>
    </row>
    <row r="12" spans="2:7" ht="18" customHeight="1" x14ac:dyDescent="0.3">
      <c r="B12" s="26" t="s">
        <v>59</v>
      </c>
      <c r="C12" s="27" t="s">
        <v>60</v>
      </c>
      <c r="D12" s="24">
        <v>0.03</v>
      </c>
      <c r="E12" s="28" t="s">
        <v>59</v>
      </c>
      <c r="F12" s="27" t="s">
        <v>61</v>
      </c>
      <c r="G12" s="84" t="s">
        <v>46</v>
      </c>
    </row>
    <row r="13" spans="2:7" ht="18" customHeight="1" x14ac:dyDescent="0.3">
      <c r="B13" s="22" t="s">
        <v>62</v>
      </c>
      <c r="C13" s="23" t="s">
        <v>63</v>
      </c>
      <c r="D13" s="24">
        <v>0.08</v>
      </c>
      <c r="E13" s="25" t="s">
        <v>62</v>
      </c>
      <c r="F13" s="23" t="s">
        <v>64</v>
      </c>
      <c r="G13" s="83" t="s">
        <v>46</v>
      </c>
    </row>
    <row r="14" spans="2:7" ht="18" customHeight="1" x14ac:dyDescent="0.3">
      <c r="B14" s="26" t="s">
        <v>65</v>
      </c>
      <c r="C14" s="27" t="s">
        <v>66</v>
      </c>
      <c r="D14" s="24">
        <v>0.2</v>
      </c>
      <c r="E14" s="28" t="s">
        <v>65</v>
      </c>
      <c r="F14" s="27" t="s">
        <v>67</v>
      </c>
      <c r="G14" s="84" t="s">
        <v>46</v>
      </c>
    </row>
    <row r="15" spans="2:7" ht="7.5" customHeight="1" x14ac:dyDescent="0.3"/>
    <row r="16" spans="2:7" ht="21.75" customHeight="1" x14ac:dyDescent="0.3">
      <c r="B16" s="9" t="s">
        <v>68</v>
      </c>
      <c r="C16" s="9"/>
      <c r="D16" s="9"/>
      <c r="E16" s="9"/>
      <c r="F16" s="9"/>
      <c r="G16" s="9"/>
    </row>
    <row r="17" spans="2:7" ht="27.75" customHeight="1" x14ac:dyDescent="0.3">
      <c r="B17" s="21" t="s">
        <v>69</v>
      </c>
      <c r="C17" s="21" t="s">
        <v>70</v>
      </c>
      <c r="D17" s="21" t="s">
        <v>71</v>
      </c>
      <c r="E17" s="21" t="s">
        <v>72</v>
      </c>
      <c r="F17" s="21" t="s">
        <v>73</v>
      </c>
      <c r="G17" s="21" t="s">
        <v>74</v>
      </c>
    </row>
    <row r="18" spans="2:7" ht="18" customHeight="1" x14ac:dyDescent="0.3">
      <c r="B18" s="14" t="s">
        <v>75</v>
      </c>
      <c r="C18" s="29">
        <v>0.4</v>
      </c>
      <c r="D18" s="30">
        <f t="shared" ref="D18:D24" si="0">1-C18</f>
        <v>0.6</v>
      </c>
      <c r="E18" s="29">
        <v>1</v>
      </c>
      <c r="F18" s="31" t="s">
        <v>76</v>
      </c>
      <c r="G18" s="85" t="s">
        <v>77</v>
      </c>
    </row>
    <row r="19" spans="2:7" ht="18" customHeight="1" x14ac:dyDescent="0.3">
      <c r="B19" s="32" t="s">
        <v>78</v>
      </c>
      <c r="C19" s="29">
        <v>0.55000000000000004</v>
      </c>
      <c r="D19" s="33">
        <f t="shared" si="0"/>
        <v>0.44999999999999996</v>
      </c>
      <c r="E19" s="29">
        <v>1</v>
      </c>
      <c r="F19" s="23" t="s">
        <v>79</v>
      </c>
      <c r="G19" s="83" t="s">
        <v>80</v>
      </c>
    </row>
    <row r="20" spans="2:7" ht="18" customHeight="1" x14ac:dyDescent="0.3">
      <c r="B20" s="14" t="s">
        <v>81</v>
      </c>
      <c r="C20" s="29">
        <v>0.75</v>
      </c>
      <c r="D20" s="30">
        <f t="shared" si="0"/>
        <v>0.25</v>
      </c>
      <c r="E20" s="29">
        <v>1</v>
      </c>
      <c r="F20" s="31" t="s">
        <v>82</v>
      </c>
      <c r="G20" s="85" t="s">
        <v>83</v>
      </c>
    </row>
    <row r="21" spans="2:7" ht="18" customHeight="1" x14ac:dyDescent="0.3">
      <c r="B21" s="32" t="s">
        <v>84</v>
      </c>
      <c r="C21" s="29">
        <v>0.2</v>
      </c>
      <c r="D21" s="33">
        <f t="shared" si="0"/>
        <v>0.8</v>
      </c>
      <c r="E21" s="29">
        <v>0.35</v>
      </c>
      <c r="F21" s="23" t="s">
        <v>76</v>
      </c>
      <c r="G21" s="83" t="s">
        <v>85</v>
      </c>
    </row>
    <row r="22" spans="2:7" ht="18" customHeight="1" x14ac:dyDescent="0.3">
      <c r="B22" s="14" t="s">
        <v>86</v>
      </c>
      <c r="C22" s="29">
        <v>0.65</v>
      </c>
      <c r="D22" s="30">
        <f t="shared" si="0"/>
        <v>0.35</v>
      </c>
      <c r="E22" s="29">
        <v>0.75</v>
      </c>
      <c r="F22" s="31" t="s">
        <v>87</v>
      </c>
      <c r="G22" s="85" t="s">
        <v>88</v>
      </c>
    </row>
    <row r="23" spans="2:7" ht="18" customHeight="1" x14ac:dyDescent="0.3">
      <c r="B23" s="32" t="s">
        <v>89</v>
      </c>
      <c r="C23" s="29">
        <v>0.6</v>
      </c>
      <c r="D23" s="33">
        <f t="shared" si="0"/>
        <v>0.4</v>
      </c>
      <c r="E23" s="29">
        <v>0.75</v>
      </c>
      <c r="F23" s="23" t="s">
        <v>87</v>
      </c>
      <c r="G23" s="83" t="s">
        <v>90</v>
      </c>
    </row>
    <row r="24" spans="2:7" ht="18" customHeight="1" x14ac:dyDescent="0.3">
      <c r="B24" s="14" t="s">
        <v>91</v>
      </c>
      <c r="C24" s="29">
        <v>0.05</v>
      </c>
      <c r="D24" s="30">
        <f t="shared" si="0"/>
        <v>0.95</v>
      </c>
      <c r="E24" s="29">
        <v>0</v>
      </c>
      <c r="F24" s="31" t="s">
        <v>92</v>
      </c>
      <c r="G24" s="85" t="s">
        <v>93</v>
      </c>
    </row>
    <row r="25" spans="2:7" ht="7.5" customHeight="1" x14ac:dyDescent="0.3"/>
    <row r="26" spans="2:7" ht="21.75" customHeight="1" x14ac:dyDescent="0.3">
      <c r="B26" s="9" t="s">
        <v>94</v>
      </c>
      <c r="C26" s="9"/>
      <c r="D26" s="9"/>
      <c r="E26" s="9"/>
      <c r="F26" s="9"/>
      <c r="G26" s="9"/>
    </row>
    <row r="27" spans="2:7" ht="27.75" customHeight="1" x14ac:dyDescent="0.3">
      <c r="B27" s="21" t="s">
        <v>95</v>
      </c>
      <c r="C27" s="21" t="s">
        <v>96</v>
      </c>
      <c r="D27" s="21" t="s">
        <v>97</v>
      </c>
      <c r="E27" s="21" t="s">
        <v>41</v>
      </c>
    </row>
    <row r="28" spans="2:7" ht="19.5" customHeight="1" x14ac:dyDescent="0.3">
      <c r="B28" s="34" t="s">
        <v>98</v>
      </c>
      <c r="C28" s="35">
        <v>1</v>
      </c>
      <c r="D28" s="35">
        <v>1</v>
      </c>
      <c r="E28" s="3" t="s">
        <v>99</v>
      </c>
      <c r="F28" s="3"/>
      <c r="G28" s="3"/>
    </row>
    <row r="29" spans="2:7" ht="19.5" customHeight="1" x14ac:dyDescent="0.3">
      <c r="B29" s="36" t="s">
        <v>100</v>
      </c>
      <c r="C29" s="35">
        <v>2.5</v>
      </c>
      <c r="D29" s="35">
        <v>1.2</v>
      </c>
      <c r="E29" s="2" t="s">
        <v>101</v>
      </c>
      <c r="F29" s="2"/>
      <c r="G29" s="2"/>
    </row>
    <row r="30" spans="2:7" ht="19.5" customHeight="1" x14ac:dyDescent="0.3">
      <c r="B30" s="37" t="s">
        <v>102</v>
      </c>
      <c r="C30" s="35">
        <v>5</v>
      </c>
      <c r="D30" s="35">
        <v>1.4</v>
      </c>
      <c r="E30" s="1" t="s">
        <v>103</v>
      </c>
      <c r="F30" s="1"/>
      <c r="G30" s="1"/>
    </row>
    <row r="31" spans="2:7" ht="7.5" customHeight="1" x14ac:dyDescent="0.3"/>
    <row r="32" spans="2:7" ht="21.75" customHeight="1" x14ac:dyDescent="0.3">
      <c r="B32" s="9" t="s">
        <v>104</v>
      </c>
      <c r="C32" s="9"/>
      <c r="D32" s="9"/>
      <c r="E32" s="9"/>
      <c r="F32" s="9"/>
      <c r="G32" s="9"/>
    </row>
    <row r="33" spans="2:7" ht="18" customHeight="1" x14ac:dyDescent="0.3">
      <c r="B33" s="32" t="s">
        <v>105</v>
      </c>
      <c r="C33" s="38">
        <v>0.08</v>
      </c>
      <c r="D33" s="88" t="s">
        <v>106</v>
      </c>
      <c r="E33" s="88"/>
      <c r="F33" s="88"/>
      <c r="G33" s="88"/>
    </row>
    <row r="34" spans="2:7" ht="18" customHeight="1" x14ac:dyDescent="0.3">
      <c r="B34" s="15" t="s">
        <v>107</v>
      </c>
      <c r="C34" s="38">
        <v>2.5000000000000001E-2</v>
      </c>
      <c r="D34" s="89" t="s">
        <v>108</v>
      </c>
      <c r="E34" s="89"/>
      <c r="F34" s="89"/>
      <c r="G34" s="89"/>
    </row>
    <row r="35" spans="2:7" ht="18" customHeight="1" x14ac:dyDescent="0.3">
      <c r="B35" s="32" t="s">
        <v>109</v>
      </c>
      <c r="C35" s="39">
        <f>C33+C34</f>
        <v>0.10500000000000001</v>
      </c>
      <c r="D35" s="88" t="s">
        <v>110</v>
      </c>
      <c r="E35" s="88"/>
      <c r="F35" s="88"/>
      <c r="G35" s="88"/>
    </row>
  </sheetData>
  <mergeCells count="11">
    <mergeCell ref="D35:G35"/>
    <mergeCell ref="E29:G29"/>
    <mergeCell ref="E30:G30"/>
    <mergeCell ref="B32:G32"/>
    <mergeCell ref="D33:G33"/>
    <mergeCell ref="D34:G34"/>
    <mergeCell ref="B2:G2"/>
    <mergeCell ref="B5:G5"/>
    <mergeCell ref="B16:G16"/>
    <mergeCell ref="B26:G26"/>
    <mergeCell ref="E28:G28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"/>
  <sheetViews>
    <sheetView showGridLines="0" zoomScaleNormal="100" workbookViewId="0"/>
  </sheetViews>
  <sheetFormatPr defaultColWidth="8.6640625" defaultRowHeight="14.4" x14ac:dyDescent="0.3"/>
  <cols>
    <col min="1" max="1" width="2" style="13" customWidth="1"/>
    <col min="2" max="2" width="4" style="13" customWidth="1"/>
    <col min="3" max="3" width="22" style="13" customWidth="1"/>
    <col min="4" max="4" width="18" style="13" customWidth="1"/>
    <col min="5" max="5" width="8" style="13" customWidth="1"/>
    <col min="6" max="6" width="22" style="13" customWidth="1"/>
    <col min="7" max="7" width="14" style="13" customWidth="1"/>
    <col min="8" max="10" width="10" style="13" customWidth="1"/>
    <col min="11" max="14" width="14" style="13" customWidth="1"/>
    <col min="15" max="15" width="12" style="13" customWidth="1"/>
    <col min="16" max="16" width="13" style="13" customWidth="1"/>
  </cols>
  <sheetData>
    <row r="1" spans="2:16" ht="7.5" customHeight="1" x14ac:dyDescent="0.3"/>
    <row r="2" spans="2:16" ht="36" customHeight="1" x14ac:dyDescent="0.3">
      <c r="B2" s="4" t="s">
        <v>111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customHeight="1" x14ac:dyDescent="0.3">
      <c r="B3" s="73" t="s">
        <v>112</v>
      </c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</row>
    <row r="4" spans="2:16" ht="7.5" customHeight="1" x14ac:dyDescent="0.3"/>
    <row r="5" spans="2:16" ht="36" customHeight="1" x14ac:dyDescent="0.3">
      <c r="B5" s="21" t="s">
        <v>113</v>
      </c>
      <c r="C5" s="21" t="s">
        <v>114</v>
      </c>
      <c r="D5" s="21" t="s">
        <v>115</v>
      </c>
      <c r="E5" s="21" t="s">
        <v>116</v>
      </c>
      <c r="F5" s="21" t="s">
        <v>69</v>
      </c>
      <c r="G5" s="21" t="s">
        <v>117</v>
      </c>
      <c r="H5" s="21" t="s">
        <v>118</v>
      </c>
      <c r="I5" s="21" t="s">
        <v>70</v>
      </c>
      <c r="J5" s="21" t="s">
        <v>119</v>
      </c>
      <c r="K5" s="21" t="s">
        <v>120</v>
      </c>
      <c r="L5" s="21" t="s">
        <v>121</v>
      </c>
      <c r="M5" s="21" t="s">
        <v>122</v>
      </c>
      <c r="N5" s="21" t="s">
        <v>123</v>
      </c>
      <c r="O5" s="21" t="s">
        <v>124</v>
      </c>
      <c r="P5" s="21" t="s">
        <v>125</v>
      </c>
    </row>
    <row r="6" spans="2:16" ht="18" customHeight="1" x14ac:dyDescent="0.3">
      <c r="B6" s="26">
        <v>1</v>
      </c>
      <c r="C6" s="15" t="s">
        <v>126</v>
      </c>
      <c r="D6" s="27" t="s">
        <v>127</v>
      </c>
      <c r="E6" s="28" t="s">
        <v>53</v>
      </c>
      <c r="F6" s="27" t="s">
        <v>75</v>
      </c>
      <c r="G6" s="40">
        <v>850</v>
      </c>
      <c r="H6" s="24">
        <v>2.5000000000000001E-3</v>
      </c>
      <c r="I6" s="29">
        <v>0.4</v>
      </c>
      <c r="J6" s="29">
        <v>1</v>
      </c>
      <c r="K6" s="41">
        <f t="shared" ref="K6:K20" si="0">G6*H6*I6</f>
        <v>0.85000000000000009</v>
      </c>
      <c r="L6" s="41">
        <f t="shared" ref="L6:L20" si="1">G6*I6*SQRT(H6*(1-H6))</f>
        <v>16.978736702122454</v>
      </c>
      <c r="M6" s="41">
        <f t="shared" ref="M6:M20" si="2">G6*J6</f>
        <v>850</v>
      </c>
      <c r="N6" s="41">
        <f>M6*Assumptions!C33</f>
        <v>68</v>
      </c>
      <c r="O6" s="42">
        <f t="shared" ref="O6:O21" si="3">K6/G6</f>
        <v>1E-3</v>
      </c>
      <c r="P6" s="43">
        <f t="shared" ref="P6:P21" si="4">N6/G6</f>
        <v>0.08</v>
      </c>
    </row>
    <row r="7" spans="2:16" ht="18" customHeight="1" x14ac:dyDescent="0.3">
      <c r="B7" s="22">
        <v>2</v>
      </c>
      <c r="C7" s="32" t="s">
        <v>128</v>
      </c>
      <c r="D7" s="23" t="s">
        <v>129</v>
      </c>
      <c r="E7" s="25" t="s">
        <v>50</v>
      </c>
      <c r="F7" s="23" t="s">
        <v>78</v>
      </c>
      <c r="G7" s="40">
        <v>1200</v>
      </c>
      <c r="H7" s="24">
        <v>1E-3</v>
      </c>
      <c r="I7" s="29">
        <v>0.55000000000000004</v>
      </c>
      <c r="J7" s="29">
        <v>1</v>
      </c>
      <c r="K7" s="44">
        <f t="shared" si="0"/>
        <v>0.66</v>
      </c>
      <c r="L7" s="44">
        <f t="shared" si="1"/>
        <v>20.860594430648426</v>
      </c>
      <c r="M7" s="44">
        <f t="shared" si="2"/>
        <v>1200</v>
      </c>
      <c r="N7" s="44">
        <f>M7*Assumptions!C33</f>
        <v>96</v>
      </c>
      <c r="O7" s="45">
        <f t="shared" si="3"/>
        <v>5.5000000000000003E-4</v>
      </c>
      <c r="P7" s="46">
        <f t="shared" si="4"/>
        <v>0.08</v>
      </c>
    </row>
    <row r="8" spans="2:16" ht="18" customHeight="1" x14ac:dyDescent="0.3">
      <c r="B8" s="26">
        <v>3</v>
      </c>
      <c r="C8" s="15" t="s">
        <v>130</v>
      </c>
      <c r="D8" s="27" t="s">
        <v>131</v>
      </c>
      <c r="E8" s="28" t="s">
        <v>47</v>
      </c>
      <c r="F8" s="27" t="s">
        <v>84</v>
      </c>
      <c r="G8" s="40">
        <v>2500</v>
      </c>
      <c r="H8" s="24">
        <v>5.0000000000000001E-4</v>
      </c>
      <c r="I8" s="29">
        <v>0.2</v>
      </c>
      <c r="J8" s="29">
        <v>0.35</v>
      </c>
      <c r="K8" s="41">
        <f t="shared" si="0"/>
        <v>0.25</v>
      </c>
      <c r="L8" s="41">
        <f t="shared" si="1"/>
        <v>11.177544453054079</v>
      </c>
      <c r="M8" s="41">
        <f t="shared" si="2"/>
        <v>875</v>
      </c>
      <c r="N8" s="41">
        <f>M8*Assumptions!C33</f>
        <v>70</v>
      </c>
      <c r="O8" s="42">
        <f t="shared" si="3"/>
        <v>1E-4</v>
      </c>
      <c r="P8" s="43">
        <f t="shared" si="4"/>
        <v>2.8000000000000001E-2</v>
      </c>
    </row>
    <row r="9" spans="2:16" ht="18" customHeight="1" x14ac:dyDescent="0.3">
      <c r="B9" s="22">
        <v>4</v>
      </c>
      <c r="C9" s="32" t="s">
        <v>132</v>
      </c>
      <c r="D9" s="23" t="s">
        <v>133</v>
      </c>
      <c r="E9" s="25" t="s">
        <v>56</v>
      </c>
      <c r="F9" s="23" t="s">
        <v>75</v>
      </c>
      <c r="G9" s="40">
        <v>600</v>
      </c>
      <c r="H9" s="24">
        <v>0.01</v>
      </c>
      <c r="I9" s="29">
        <v>0.4</v>
      </c>
      <c r="J9" s="29">
        <v>1</v>
      </c>
      <c r="K9" s="44">
        <f t="shared" si="0"/>
        <v>2.4000000000000004</v>
      </c>
      <c r="L9" s="44">
        <f t="shared" si="1"/>
        <v>23.87969849055888</v>
      </c>
      <c r="M9" s="44">
        <f t="shared" si="2"/>
        <v>600</v>
      </c>
      <c r="N9" s="44">
        <f>M9*Assumptions!C33</f>
        <v>48</v>
      </c>
      <c r="O9" s="45">
        <f t="shared" si="3"/>
        <v>4.000000000000001E-3</v>
      </c>
      <c r="P9" s="46">
        <f t="shared" si="4"/>
        <v>0.08</v>
      </c>
    </row>
    <row r="10" spans="2:16" ht="18" customHeight="1" x14ac:dyDescent="0.3">
      <c r="B10" s="26">
        <v>5</v>
      </c>
      <c r="C10" s="15" t="s">
        <v>134</v>
      </c>
      <c r="D10" s="27" t="s">
        <v>135</v>
      </c>
      <c r="E10" s="28" t="s">
        <v>53</v>
      </c>
      <c r="F10" s="27" t="s">
        <v>89</v>
      </c>
      <c r="G10" s="40">
        <v>15</v>
      </c>
      <c r="H10" s="24">
        <v>2.5000000000000001E-3</v>
      </c>
      <c r="I10" s="29">
        <v>0.6</v>
      </c>
      <c r="J10" s="29">
        <v>0.75</v>
      </c>
      <c r="K10" s="41">
        <f t="shared" si="0"/>
        <v>2.2499999999999999E-2</v>
      </c>
      <c r="L10" s="41">
        <f t="shared" si="1"/>
        <v>0.44943714799735907</v>
      </c>
      <c r="M10" s="41">
        <f t="shared" si="2"/>
        <v>11.25</v>
      </c>
      <c r="N10" s="41">
        <f>M10*Assumptions!C33</f>
        <v>0.9</v>
      </c>
      <c r="O10" s="42">
        <f t="shared" si="3"/>
        <v>1.5E-3</v>
      </c>
      <c r="P10" s="43">
        <f t="shared" si="4"/>
        <v>6.0000000000000005E-2</v>
      </c>
    </row>
    <row r="11" spans="2:16" ht="18" customHeight="1" x14ac:dyDescent="0.3">
      <c r="B11" s="22">
        <v>6</v>
      </c>
      <c r="C11" s="32" t="s">
        <v>136</v>
      </c>
      <c r="D11" s="23" t="s">
        <v>135</v>
      </c>
      <c r="E11" s="25" t="s">
        <v>50</v>
      </c>
      <c r="F11" s="23" t="s">
        <v>86</v>
      </c>
      <c r="G11" s="40">
        <v>8</v>
      </c>
      <c r="H11" s="24">
        <v>1E-3</v>
      </c>
      <c r="I11" s="29">
        <v>0.65</v>
      </c>
      <c r="J11" s="29">
        <v>0.75</v>
      </c>
      <c r="K11" s="44">
        <f t="shared" si="0"/>
        <v>5.2000000000000006E-3</v>
      </c>
      <c r="L11" s="44">
        <f t="shared" si="1"/>
        <v>0.16435619854450276</v>
      </c>
      <c r="M11" s="44">
        <f t="shared" si="2"/>
        <v>6</v>
      </c>
      <c r="N11" s="44">
        <f>M11*Assumptions!C33</f>
        <v>0.48</v>
      </c>
      <c r="O11" s="45">
        <f t="shared" si="3"/>
        <v>6.5000000000000008E-4</v>
      </c>
      <c r="P11" s="46">
        <f t="shared" si="4"/>
        <v>0.06</v>
      </c>
    </row>
    <row r="12" spans="2:16" ht="18" customHeight="1" x14ac:dyDescent="0.3">
      <c r="B12" s="26">
        <v>7</v>
      </c>
      <c r="C12" s="15" t="s">
        <v>137</v>
      </c>
      <c r="D12" s="27" t="s">
        <v>138</v>
      </c>
      <c r="E12" s="28" t="s">
        <v>50</v>
      </c>
      <c r="F12" s="27" t="s">
        <v>75</v>
      </c>
      <c r="G12" s="40">
        <v>950</v>
      </c>
      <c r="H12" s="24">
        <v>1E-3</v>
      </c>
      <c r="I12" s="29">
        <v>0.4</v>
      </c>
      <c r="J12" s="29">
        <v>1</v>
      </c>
      <c r="K12" s="41">
        <f t="shared" si="0"/>
        <v>0.38000000000000006</v>
      </c>
      <c r="L12" s="41">
        <f t="shared" si="1"/>
        <v>12.010645278252124</v>
      </c>
      <c r="M12" s="41">
        <f t="shared" si="2"/>
        <v>950</v>
      </c>
      <c r="N12" s="41">
        <f>M12*Assumptions!C33</f>
        <v>76</v>
      </c>
      <c r="O12" s="42">
        <f t="shared" si="3"/>
        <v>4.0000000000000007E-4</v>
      </c>
      <c r="P12" s="43">
        <f t="shared" si="4"/>
        <v>0.08</v>
      </c>
    </row>
    <row r="13" spans="2:16" ht="18" customHeight="1" x14ac:dyDescent="0.3">
      <c r="B13" s="22">
        <v>8</v>
      </c>
      <c r="C13" s="32" t="s">
        <v>139</v>
      </c>
      <c r="D13" s="23" t="s">
        <v>140</v>
      </c>
      <c r="E13" s="25" t="s">
        <v>59</v>
      </c>
      <c r="F13" s="23" t="s">
        <v>81</v>
      </c>
      <c r="G13" s="40">
        <v>400</v>
      </c>
      <c r="H13" s="24">
        <v>0.03</v>
      </c>
      <c r="I13" s="29">
        <v>0.75</v>
      </c>
      <c r="J13" s="29">
        <v>1</v>
      </c>
      <c r="K13" s="44">
        <f t="shared" si="0"/>
        <v>9</v>
      </c>
      <c r="L13" s="44">
        <f t="shared" si="1"/>
        <v>51.176166327695938</v>
      </c>
      <c r="M13" s="44">
        <f t="shared" si="2"/>
        <v>400</v>
      </c>
      <c r="N13" s="44">
        <f>M13*Assumptions!C33</f>
        <v>32</v>
      </c>
      <c r="O13" s="45">
        <f t="shared" si="3"/>
        <v>2.2499999999999999E-2</v>
      </c>
      <c r="P13" s="46">
        <f t="shared" si="4"/>
        <v>0.08</v>
      </c>
    </row>
    <row r="14" spans="2:16" ht="18" customHeight="1" x14ac:dyDescent="0.3">
      <c r="B14" s="26">
        <v>9</v>
      </c>
      <c r="C14" s="15" t="s">
        <v>141</v>
      </c>
      <c r="D14" s="27" t="s">
        <v>142</v>
      </c>
      <c r="E14" s="28" t="s">
        <v>43</v>
      </c>
      <c r="F14" s="27" t="s">
        <v>91</v>
      </c>
      <c r="G14" s="40">
        <v>3000</v>
      </c>
      <c r="H14" s="24">
        <v>1E-4</v>
      </c>
      <c r="I14" s="29">
        <v>0.05</v>
      </c>
      <c r="J14" s="29">
        <v>0</v>
      </c>
      <c r="K14" s="41">
        <f t="shared" si="0"/>
        <v>1.4999999999999999E-2</v>
      </c>
      <c r="L14" s="41">
        <f t="shared" si="1"/>
        <v>1.4999249981249063</v>
      </c>
      <c r="M14" s="41">
        <f t="shared" si="2"/>
        <v>0</v>
      </c>
      <c r="N14" s="41">
        <f>M14*Assumptions!C33</f>
        <v>0</v>
      </c>
      <c r="O14" s="42">
        <f t="shared" si="3"/>
        <v>4.9999999999999996E-6</v>
      </c>
      <c r="P14" s="43">
        <f t="shared" si="4"/>
        <v>0</v>
      </c>
    </row>
    <row r="15" spans="2:16" ht="18" customHeight="1" x14ac:dyDescent="0.3">
      <c r="B15" s="22">
        <v>10</v>
      </c>
      <c r="C15" s="32" t="s">
        <v>143</v>
      </c>
      <c r="D15" s="23" t="s">
        <v>127</v>
      </c>
      <c r="E15" s="25" t="s">
        <v>59</v>
      </c>
      <c r="F15" s="23" t="s">
        <v>78</v>
      </c>
      <c r="G15" s="40">
        <v>350</v>
      </c>
      <c r="H15" s="24">
        <v>0.03</v>
      </c>
      <c r="I15" s="29">
        <v>0.55000000000000004</v>
      </c>
      <c r="J15" s="29">
        <v>1</v>
      </c>
      <c r="K15" s="44">
        <f t="shared" si="0"/>
        <v>5.7750000000000004</v>
      </c>
      <c r="L15" s="44">
        <f t="shared" si="1"/>
        <v>32.838040060271567</v>
      </c>
      <c r="M15" s="44">
        <f t="shared" si="2"/>
        <v>350</v>
      </c>
      <c r="N15" s="44">
        <f>M15*Assumptions!C33</f>
        <v>28</v>
      </c>
      <c r="O15" s="45">
        <f t="shared" si="3"/>
        <v>1.6500000000000001E-2</v>
      </c>
      <c r="P15" s="46">
        <f t="shared" si="4"/>
        <v>0.08</v>
      </c>
    </row>
    <row r="16" spans="2:16" ht="18" customHeight="1" x14ac:dyDescent="0.3">
      <c r="B16" s="26">
        <v>11</v>
      </c>
      <c r="C16" s="15" t="s">
        <v>144</v>
      </c>
      <c r="D16" s="27" t="s">
        <v>145</v>
      </c>
      <c r="E16" s="28" t="s">
        <v>53</v>
      </c>
      <c r="F16" s="27" t="s">
        <v>84</v>
      </c>
      <c r="G16" s="40">
        <v>800</v>
      </c>
      <c r="H16" s="24">
        <v>2.5000000000000001E-3</v>
      </c>
      <c r="I16" s="29">
        <v>0.2</v>
      </c>
      <c r="J16" s="29">
        <v>0.35</v>
      </c>
      <c r="K16" s="41">
        <f t="shared" si="0"/>
        <v>0.4</v>
      </c>
      <c r="L16" s="41">
        <f t="shared" si="1"/>
        <v>7.9899937421752725</v>
      </c>
      <c r="M16" s="41">
        <f t="shared" si="2"/>
        <v>280</v>
      </c>
      <c r="N16" s="41">
        <f>M16*Assumptions!C33</f>
        <v>22.400000000000002</v>
      </c>
      <c r="O16" s="42">
        <f t="shared" si="3"/>
        <v>5.0000000000000001E-4</v>
      </c>
      <c r="P16" s="43">
        <f t="shared" si="4"/>
        <v>2.8000000000000004E-2</v>
      </c>
    </row>
    <row r="17" spans="2:16" ht="18" customHeight="1" x14ac:dyDescent="0.3">
      <c r="B17" s="22">
        <v>12</v>
      </c>
      <c r="C17" s="32" t="s">
        <v>146</v>
      </c>
      <c r="D17" s="23" t="s">
        <v>147</v>
      </c>
      <c r="E17" s="25" t="s">
        <v>56</v>
      </c>
      <c r="F17" s="23" t="s">
        <v>78</v>
      </c>
      <c r="G17" s="40">
        <v>250</v>
      </c>
      <c r="H17" s="24">
        <v>0.01</v>
      </c>
      <c r="I17" s="29">
        <v>0.55000000000000004</v>
      </c>
      <c r="J17" s="29">
        <v>1</v>
      </c>
      <c r="K17" s="44">
        <f t="shared" si="0"/>
        <v>1.375</v>
      </c>
      <c r="L17" s="44">
        <f t="shared" si="1"/>
        <v>13.681077260216025</v>
      </c>
      <c r="M17" s="44">
        <f t="shared" si="2"/>
        <v>250</v>
      </c>
      <c r="N17" s="44">
        <f>M17*Assumptions!C33</f>
        <v>20</v>
      </c>
      <c r="O17" s="45">
        <f t="shared" si="3"/>
        <v>5.4999999999999997E-3</v>
      </c>
      <c r="P17" s="46">
        <f t="shared" si="4"/>
        <v>0.08</v>
      </c>
    </row>
    <row r="18" spans="2:16" ht="18" customHeight="1" x14ac:dyDescent="0.3">
      <c r="B18" s="26">
        <v>13</v>
      </c>
      <c r="C18" s="15" t="s">
        <v>148</v>
      </c>
      <c r="D18" s="27" t="s">
        <v>149</v>
      </c>
      <c r="E18" s="28" t="s">
        <v>47</v>
      </c>
      <c r="F18" s="27" t="s">
        <v>75</v>
      </c>
      <c r="G18" s="40">
        <v>1800</v>
      </c>
      <c r="H18" s="24">
        <v>5.0000000000000001E-4</v>
      </c>
      <c r="I18" s="29">
        <v>0.35</v>
      </c>
      <c r="J18" s="29">
        <v>1</v>
      </c>
      <c r="K18" s="41">
        <f t="shared" si="0"/>
        <v>0.315</v>
      </c>
      <c r="L18" s="41">
        <f t="shared" si="1"/>
        <v>14.08370601084814</v>
      </c>
      <c r="M18" s="41">
        <f t="shared" si="2"/>
        <v>1800</v>
      </c>
      <c r="N18" s="41">
        <f>M18*Assumptions!C33</f>
        <v>144</v>
      </c>
      <c r="O18" s="42">
        <f t="shared" si="3"/>
        <v>1.75E-4</v>
      </c>
      <c r="P18" s="43">
        <f t="shared" si="4"/>
        <v>0.08</v>
      </c>
    </row>
    <row r="19" spans="2:16" ht="18" customHeight="1" x14ac:dyDescent="0.3">
      <c r="B19" s="22">
        <v>14</v>
      </c>
      <c r="C19" s="32" t="s">
        <v>150</v>
      </c>
      <c r="D19" s="23" t="s">
        <v>135</v>
      </c>
      <c r="E19" s="25" t="s">
        <v>56</v>
      </c>
      <c r="F19" s="23" t="s">
        <v>86</v>
      </c>
      <c r="G19" s="40">
        <v>12</v>
      </c>
      <c r="H19" s="24">
        <v>0.01</v>
      </c>
      <c r="I19" s="29">
        <v>0.65</v>
      </c>
      <c r="J19" s="29">
        <v>0.75</v>
      </c>
      <c r="K19" s="44">
        <f t="shared" si="0"/>
        <v>7.8E-2</v>
      </c>
      <c r="L19" s="44">
        <f t="shared" si="1"/>
        <v>0.77609020094316372</v>
      </c>
      <c r="M19" s="44">
        <f t="shared" si="2"/>
        <v>9</v>
      </c>
      <c r="N19" s="44">
        <f>M19*Assumptions!C33</f>
        <v>0.72</v>
      </c>
      <c r="O19" s="45">
        <f t="shared" si="3"/>
        <v>6.4999999999999997E-3</v>
      </c>
      <c r="P19" s="46">
        <f t="shared" si="4"/>
        <v>0.06</v>
      </c>
    </row>
    <row r="20" spans="2:16" ht="18" customHeight="1" x14ac:dyDescent="0.3">
      <c r="B20" s="26">
        <v>15</v>
      </c>
      <c r="C20" s="15" t="s">
        <v>151</v>
      </c>
      <c r="D20" s="27" t="s">
        <v>152</v>
      </c>
      <c r="E20" s="28" t="s">
        <v>43</v>
      </c>
      <c r="F20" s="27" t="s">
        <v>91</v>
      </c>
      <c r="G20" s="40">
        <v>2200</v>
      </c>
      <c r="H20" s="24">
        <v>1E-4</v>
      </c>
      <c r="I20" s="29">
        <v>0.05</v>
      </c>
      <c r="J20" s="29">
        <v>0</v>
      </c>
      <c r="K20" s="41">
        <f t="shared" si="0"/>
        <v>1.1000000000000001E-2</v>
      </c>
      <c r="L20" s="41">
        <f t="shared" si="1"/>
        <v>1.0999449986249314</v>
      </c>
      <c r="M20" s="41">
        <f t="shared" si="2"/>
        <v>0</v>
      </c>
      <c r="N20" s="41">
        <f>M20*Assumptions!C33</f>
        <v>0</v>
      </c>
      <c r="O20" s="42">
        <f t="shared" si="3"/>
        <v>5.0000000000000004E-6</v>
      </c>
      <c r="P20" s="43">
        <f t="shared" si="4"/>
        <v>0</v>
      </c>
    </row>
    <row r="21" spans="2:16" ht="21.75" customHeight="1" x14ac:dyDescent="0.3">
      <c r="B21" s="9" t="s">
        <v>153</v>
      </c>
      <c r="C21" s="9"/>
      <c r="D21" s="9"/>
      <c r="E21" s="9"/>
      <c r="F21" s="9"/>
      <c r="G21" s="47">
        <f>SUM(G6:G20)</f>
        <v>14935</v>
      </c>
      <c r="H21" s="48"/>
      <c r="I21" s="48"/>
      <c r="J21" s="48"/>
      <c r="K21" s="47">
        <f>SUM(K6:K20)</f>
        <v>21.5367</v>
      </c>
      <c r="L21" s="47">
        <f>SUM(L6:L20)</f>
        <v>208.66595630007777</v>
      </c>
      <c r="M21" s="47">
        <f>SUM(M6:M20)</f>
        <v>7581.25</v>
      </c>
      <c r="N21" s="47">
        <f>SUM(N6:N20)</f>
        <v>606.5</v>
      </c>
      <c r="O21" s="49">
        <f t="shared" si="3"/>
        <v>1.442028791429528E-3</v>
      </c>
      <c r="P21" s="50">
        <f t="shared" si="4"/>
        <v>4.0609306996986942E-2</v>
      </c>
    </row>
  </sheetData>
  <mergeCells count="3">
    <mergeCell ref="B2:P2"/>
    <mergeCell ref="B3:P3"/>
    <mergeCell ref="B21:F2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"/>
  <sheetViews>
    <sheetView showGridLines="0" topLeftCell="A7" zoomScale="85" zoomScaleNormal="85" workbookViewId="0">
      <selection activeCell="I24" sqref="I24"/>
    </sheetView>
  </sheetViews>
  <sheetFormatPr defaultColWidth="8.6640625" defaultRowHeight="14.4" x14ac:dyDescent="0.3"/>
  <cols>
    <col min="1" max="1" width="2" style="13" customWidth="1"/>
    <col min="2" max="2" width="13.88671875" style="13" customWidth="1"/>
    <col min="3" max="3" width="22" style="13" customWidth="1"/>
    <col min="4" max="4" width="8" style="13" customWidth="1"/>
    <col min="5" max="5" width="13" style="13" customWidth="1"/>
    <col min="6" max="11" width="15" style="13" customWidth="1"/>
    <col min="12" max="12" width="18" style="13" customWidth="1"/>
  </cols>
  <sheetData>
    <row r="1" spans="2:12" ht="7.5" customHeight="1" x14ac:dyDescent="0.3"/>
    <row r="2" spans="2:12" ht="36" customHeight="1" x14ac:dyDescent="0.3">
      <c r="B2" s="4" t="s">
        <v>154</v>
      </c>
      <c r="C2" s="4"/>
      <c r="D2" s="4"/>
      <c r="E2" s="4"/>
      <c r="F2" s="4"/>
      <c r="G2" s="4"/>
      <c r="H2" s="4"/>
      <c r="I2" s="4"/>
      <c r="J2" s="4"/>
      <c r="K2" s="4"/>
      <c r="L2" s="4"/>
    </row>
    <row r="3" spans="2:12" ht="18" customHeight="1" x14ac:dyDescent="0.3">
      <c r="B3" s="73" t="s">
        <v>155</v>
      </c>
      <c r="C3" s="73"/>
      <c r="D3" s="73"/>
      <c r="E3" s="73"/>
      <c r="F3" s="73"/>
      <c r="G3" s="73"/>
      <c r="H3" s="73"/>
      <c r="I3" s="73"/>
      <c r="J3" s="73"/>
      <c r="K3" s="73"/>
      <c r="L3" s="73"/>
    </row>
    <row r="4" spans="2:12" ht="7.5" customHeight="1" x14ac:dyDescent="0.3"/>
    <row r="5" spans="2:12" ht="36" customHeight="1" x14ac:dyDescent="0.3">
      <c r="B5" s="21" t="s">
        <v>113</v>
      </c>
      <c r="C5" s="21" t="s">
        <v>156</v>
      </c>
      <c r="D5" s="21" t="s">
        <v>116</v>
      </c>
      <c r="E5" s="21" t="s">
        <v>157</v>
      </c>
      <c r="F5" s="21" t="s">
        <v>158</v>
      </c>
      <c r="G5" s="21" t="s">
        <v>159</v>
      </c>
      <c r="H5" s="21" t="s">
        <v>160</v>
      </c>
      <c r="I5" s="21" t="s">
        <v>161</v>
      </c>
      <c r="J5" s="21" t="s">
        <v>162</v>
      </c>
      <c r="K5" s="21" t="s">
        <v>163</v>
      </c>
      <c r="L5" s="21" t="s">
        <v>164</v>
      </c>
    </row>
    <row r="6" spans="2:12" ht="18" customHeight="1" x14ac:dyDescent="0.3">
      <c r="B6" s="26">
        <v>1</v>
      </c>
      <c r="C6" s="15" t="s">
        <v>126</v>
      </c>
      <c r="D6" s="28" t="s">
        <v>53</v>
      </c>
      <c r="E6" s="51">
        <f>'Loan Book'!G6</f>
        <v>850</v>
      </c>
      <c r="F6" s="41">
        <f>'Loan Book'!G6*MIN('Loan Book'!H6*Assumptions!$C$28,1)*MIN('Loan Book'!I6*Assumptions!$D$28,1)</f>
        <v>0.85000000000000009</v>
      </c>
      <c r="G6" s="41">
        <f>'Loan Book'!G6*'Loan Book'!J6*Assumptions!$C$33</f>
        <v>68</v>
      </c>
      <c r="H6" s="52">
        <f>'Loan Book'!G6*MIN('Loan Book'!H6*Assumptions!$C$29,1)*MIN('Loan Book'!I6*Assumptions!$D$29,1)</f>
        <v>2.5499999999999998</v>
      </c>
      <c r="I6" s="52">
        <f>'Loan Book'!G6*'Loan Book'!J6*Assumptions!$C$33</f>
        <v>68</v>
      </c>
      <c r="J6" s="53">
        <f>'Loan Book'!G6*MIN('Loan Book'!H6*Assumptions!$C$30,1)*MIN('Loan Book'!I6*Assumptions!$D$30,1)</f>
        <v>5.9499999999999993</v>
      </c>
      <c r="K6" s="53">
        <f>'Loan Book'!G6*'Loan Book'!J6*Assumptions!$C$33</f>
        <v>68</v>
      </c>
      <c r="L6" s="53">
        <f t="shared" ref="L6:L20" si="0">J6-F6</f>
        <v>5.0999999999999996</v>
      </c>
    </row>
    <row r="7" spans="2:12" ht="18" customHeight="1" x14ac:dyDescent="0.3">
      <c r="B7" s="22">
        <v>2</v>
      </c>
      <c r="C7" s="32" t="s">
        <v>128</v>
      </c>
      <c r="D7" s="25" t="s">
        <v>50</v>
      </c>
      <c r="E7" s="54">
        <f>'Loan Book'!G7</f>
        <v>1200</v>
      </c>
      <c r="F7" s="44">
        <f>'Loan Book'!G7*MIN('Loan Book'!H7*Assumptions!$C$28,1)*MIN('Loan Book'!I7*Assumptions!$D$28,1)</f>
        <v>0.66</v>
      </c>
      <c r="G7" s="44">
        <f>'Loan Book'!G7*'Loan Book'!J7*Assumptions!$C$33</f>
        <v>96</v>
      </c>
      <c r="H7" s="55">
        <f>'Loan Book'!G7*MIN('Loan Book'!H7*Assumptions!$C$29,1)*MIN('Loan Book'!I7*Assumptions!$D$29,1)</f>
        <v>1.98</v>
      </c>
      <c r="I7" s="55">
        <f>'Loan Book'!G7*'Loan Book'!J7*Assumptions!$C$33</f>
        <v>96</v>
      </c>
      <c r="J7" s="56">
        <f>'Loan Book'!G7*MIN('Loan Book'!H7*Assumptions!$C$30,1)*MIN('Loan Book'!I7*Assumptions!$D$30,1)</f>
        <v>4.62</v>
      </c>
      <c r="K7" s="56">
        <f>'Loan Book'!G7*'Loan Book'!J7*Assumptions!$C$33</f>
        <v>96</v>
      </c>
      <c r="L7" s="53">
        <f t="shared" si="0"/>
        <v>3.96</v>
      </c>
    </row>
    <row r="8" spans="2:12" ht="18" customHeight="1" x14ac:dyDescent="0.3">
      <c r="B8" s="26">
        <v>3</v>
      </c>
      <c r="C8" s="15" t="s">
        <v>130</v>
      </c>
      <c r="D8" s="28" t="s">
        <v>47</v>
      </c>
      <c r="E8" s="51">
        <f>'Loan Book'!G8</f>
        <v>2500</v>
      </c>
      <c r="F8" s="41">
        <f>'Loan Book'!G8*MIN('Loan Book'!H8*Assumptions!$C$28,1)*MIN('Loan Book'!I8*Assumptions!$D$28,1)</f>
        <v>0.25</v>
      </c>
      <c r="G8" s="41">
        <f>'Loan Book'!G8*'Loan Book'!J8*Assumptions!$C$33</f>
        <v>70</v>
      </c>
      <c r="H8" s="52">
        <f>'Loan Book'!G8*MIN('Loan Book'!H8*Assumptions!$C$29,1)*MIN('Loan Book'!I8*Assumptions!$D$29,1)</f>
        <v>0.75</v>
      </c>
      <c r="I8" s="52">
        <f>'Loan Book'!G8*'Loan Book'!J8*Assumptions!$C$33</f>
        <v>70</v>
      </c>
      <c r="J8" s="53">
        <f>'Loan Book'!G8*MIN('Loan Book'!H8*Assumptions!$C$30,1)*MIN('Loan Book'!I8*Assumptions!$D$30,1)</f>
        <v>1.7499999999999998</v>
      </c>
      <c r="K8" s="53">
        <f>'Loan Book'!G8*'Loan Book'!J8*Assumptions!$C$33</f>
        <v>70</v>
      </c>
      <c r="L8" s="53">
        <f t="shared" si="0"/>
        <v>1.4999999999999998</v>
      </c>
    </row>
    <row r="9" spans="2:12" ht="18" customHeight="1" x14ac:dyDescent="0.3">
      <c r="B9" s="22">
        <v>4</v>
      </c>
      <c r="C9" s="32" t="s">
        <v>132</v>
      </c>
      <c r="D9" s="25" t="s">
        <v>56</v>
      </c>
      <c r="E9" s="54">
        <f>'Loan Book'!G9</f>
        <v>600</v>
      </c>
      <c r="F9" s="44">
        <f>'Loan Book'!G9*MIN('Loan Book'!H9*Assumptions!$C$28,1)*MIN('Loan Book'!I9*Assumptions!$D$28,1)</f>
        <v>2.4000000000000004</v>
      </c>
      <c r="G9" s="44">
        <f>'Loan Book'!G9*'Loan Book'!J9*Assumptions!$C$33</f>
        <v>48</v>
      </c>
      <c r="H9" s="55">
        <f>'Loan Book'!G9*MIN('Loan Book'!H9*Assumptions!$C$29,1)*MIN('Loan Book'!I9*Assumptions!$D$29,1)</f>
        <v>7.1999999999999993</v>
      </c>
      <c r="I9" s="55">
        <f>'Loan Book'!G9*'Loan Book'!J9*Assumptions!$C$33</f>
        <v>48</v>
      </c>
      <c r="J9" s="56">
        <f>'Loan Book'!G9*MIN('Loan Book'!H9*Assumptions!$C$30,1)*MIN('Loan Book'!I9*Assumptions!$D$30,1)</f>
        <v>16.799999999999997</v>
      </c>
      <c r="K9" s="56">
        <f>'Loan Book'!G9*'Loan Book'!J9*Assumptions!$C$33</f>
        <v>48</v>
      </c>
      <c r="L9" s="53">
        <f t="shared" si="0"/>
        <v>14.399999999999997</v>
      </c>
    </row>
    <row r="10" spans="2:12" ht="18" customHeight="1" x14ac:dyDescent="0.3">
      <c r="B10" s="26">
        <v>5</v>
      </c>
      <c r="C10" s="15" t="s">
        <v>134</v>
      </c>
      <c r="D10" s="28" t="s">
        <v>53</v>
      </c>
      <c r="E10" s="51">
        <f>'Loan Book'!G10</f>
        <v>15</v>
      </c>
      <c r="F10" s="41">
        <f>'Loan Book'!G10*MIN('Loan Book'!H10*Assumptions!$C$28,1)*MIN('Loan Book'!I10*Assumptions!$D$28,1)</f>
        <v>2.2499999999999999E-2</v>
      </c>
      <c r="G10" s="41">
        <f>'Loan Book'!G10*'Loan Book'!J10*Assumptions!$C$33</f>
        <v>0.9</v>
      </c>
      <c r="H10" s="52">
        <f>'Loan Book'!G10*MIN('Loan Book'!H10*Assumptions!$C$29,1)*MIN('Loan Book'!I10*Assumptions!$D$29,1)</f>
        <v>6.7500000000000004E-2</v>
      </c>
      <c r="I10" s="52">
        <f>'Loan Book'!G10*'Loan Book'!J10*Assumptions!$C$33</f>
        <v>0.9</v>
      </c>
      <c r="J10" s="53">
        <f>'Loan Book'!G10*MIN('Loan Book'!H10*Assumptions!$C$30,1)*MIN('Loan Book'!I10*Assumptions!$D$30,1)</f>
        <v>0.1575</v>
      </c>
      <c r="K10" s="53">
        <f>'Loan Book'!G10*'Loan Book'!J10*Assumptions!$C$33</f>
        <v>0.9</v>
      </c>
      <c r="L10" s="53">
        <f t="shared" si="0"/>
        <v>0.13500000000000001</v>
      </c>
    </row>
    <row r="11" spans="2:12" ht="18" customHeight="1" x14ac:dyDescent="0.3">
      <c r="B11" s="22">
        <v>6</v>
      </c>
      <c r="C11" s="32" t="s">
        <v>136</v>
      </c>
      <c r="D11" s="25" t="s">
        <v>50</v>
      </c>
      <c r="E11" s="54">
        <f>'Loan Book'!G11</f>
        <v>8</v>
      </c>
      <c r="F11" s="44">
        <f>'Loan Book'!G11*MIN('Loan Book'!H11*Assumptions!$C$28,1)*MIN('Loan Book'!I11*Assumptions!$D$28,1)</f>
        <v>5.2000000000000006E-3</v>
      </c>
      <c r="G11" s="44">
        <f>'Loan Book'!G11*'Loan Book'!J11*Assumptions!$C$33</f>
        <v>0.48</v>
      </c>
      <c r="H11" s="55">
        <f>'Loan Book'!G11*MIN('Loan Book'!H11*Assumptions!$C$29,1)*MIN('Loan Book'!I11*Assumptions!$D$29,1)</f>
        <v>1.5600000000000001E-2</v>
      </c>
      <c r="I11" s="55">
        <f>'Loan Book'!G11*'Loan Book'!J11*Assumptions!$C$33</f>
        <v>0.48</v>
      </c>
      <c r="J11" s="56">
        <f>'Loan Book'!G11*MIN('Loan Book'!H11*Assumptions!$C$30,1)*MIN('Loan Book'!I11*Assumptions!$D$30,1)</f>
        <v>3.6399999999999995E-2</v>
      </c>
      <c r="K11" s="56">
        <f>'Loan Book'!G11*'Loan Book'!J11*Assumptions!$C$33</f>
        <v>0.48</v>
      </c>
      <c r="L11" s="53">
        <f t="shared" si="0"/>
        <v>3.1199999999999995E-2</v>
      </c>
    </row>
    <row r="12" spans="2:12" ht="18" customHeight="1" x14ac:dyDescent="0.3">
      <c r="B12" s="26">
        <v>7</v>
      </c>
      <c r="C12" s="15" t="s">
        <v>137</v>
      </c>
      <c r="D12" s="28" t="s">
        <v>50</v>
      </c>
      <c r="E12" s="51">
        <f>'Loan Book'!G12</f>
        <v>950</v>
      </c>
      <c r="F12" s="41">
        <f>'Loan Book'!G12*MIN('Loan Book'!H12*Assumptions!$C$28,1)*MIN('Loan Book'!I12*Assumptions!$D$28,1)</f>
        <v>0.38000000000000006</v>
      </c>
      <c r="G12" s="41">
        <f>'Loan Book'!G12*'Loan Book'!J12*Assumptions!$C$33</f>
        <v>76</v>
      </c>
      <c r="H12" s="52">
        <f>'Loan Book'!G12*MIN('Loan Book'!H12*Assumptions!$C$29,1)*MIN('Loan Book'!I12*Assumptions!$D$29,1)</f>
        <v>1.1399999999999999</v>
      </c>
      <c r="I12" s="52">
        <f>'Loan Book'!G12*'Loan Book'!J12*Assumptions!$C$33</f>
        <v>76</v>
      </c>
      <c r="J12" s="53">
        <f>'Loan Book'!G12*MIN('Loan Book'!H12*Assumptions!$C$30,1)*MIN('Loan Book'!I12*Assumptions!$D$30,1)</f>
        <v>2.6599999999999997</v>
      </c>
      <c r="K12" s="53">
        <f>'Loan Book'!G12*'Loan Book'!J12*Assumptions!$C$33</f>
        <v>76</v>
      </c>
      <c r="L12" s="53">
        <f t="shared" si="0"/>
        <v>2.2799999999999998</v>
      </c>
    </row>
    <row r="13" spans="2:12" ht="18" customHeight="1" x14ac:dyDescent="0.3">
      <c r="B13" s="22">
        <v>8</v>
      </c>
      <c r="C13" s="32" t="s">
        <v>139</v>
      </c>
      <c r="D13" s="25" t="s">
        <v>59</v>
      </c>
      <c r="E13" s="54">
        <f>'Loan Book'!G13</f>
        <v>400</v>
      </c>
      <c r="F13" s="44">
        <f>'Loan Book'!G13*MIN('Loan Book'!H13*Assumptions!$C$28,1)*MIN('Loan Book'!I13*Assumptions!$D$28,1)</f>
        <v>9</v>
      </c>
      <c r="G13" s="44">
        <f>'Loan Book'!G13*'Loan Book'!J13*Assumptions!$C$33</f>
        <v>32</v>
      </c>
      <c r="H13" s="55">
        <f>'Loan Book'!G13*MIN('Loan Book'!H13*Assumptions!$C$29,1)*MIN('Loan Book'!I13*Assumptions!$D$29,1)</f>
        <v>26.999999999999996</v>
      </c>
      <c r="I13" s="55">
        <f>'Loan Book'!G13*'Loan Book'!J13*Assumptions!$C$33</f>
        <v>32</v>
      </c>
      <c r="J13" s="56">
        <f>'Loan Book'!G13*MIN('Loan Book'!H13*Assumptions!$C$30,1)*MIN('Loan Book'!I13*Assumptions!$D$30,1)</f>
        <v>60</v>
      </c>
      <c r="K13" s="56">
        <f>'Loan Book'!G13*'Loan Book'!J13*Assumptions!$C$33</f>
        <v>32</v>
      </c>
      <c r="L13" s="53">
        <f t="shared" si="0"/>
        <v>51</v>
      </c>
    </row>
    <row r="14" spans="2:12" ht="18" customHeight="1" x14ac:dyDescent="0.3">
      <c r="B14" s="26">
        <v>9</v>
      </c>
      <c r="C14" s="15" t="s">
        <v>141</v>
      </c>
      <c r="D14" s="28" t="s">
        <v>43</v>
      </c>
      <c r="E14" s="51">
        <f>'Loan Book'!G14</f>
        <v>3000</v>
      </c>
      <c r="F14" s="41">
        <f>'Loan Book'!G14*MIN('Loan Book'!H14*Assumptions!$C$28,1)*MIN('Loan Book'!I14*Assumptions!$D$28,1)</f>
        <v>1.4999999999999999E-2</v>
      </c>
      <c r="G14" s="41">
        <f>'Loan Book'!G14*'Loan Book'!J14*Assumptions!$C$33</f>
        <v>0</v>
      </c>
      <c r="H14" s="52">
        <f>'Loan Book'!G14*MIN('Loan Book'!H14*Assumptions!$C$29,1)*MIN('Loan Book'!I14*Assumptions!$D$29,1)</f>
        <v>4.4999999999999998E-2</v>
      </c>
      <c r="I14" s="52">
        <f>'Loan Book'!G14*'Loan Book'!J14*Assumptions!$C$33</f>
        <v>0</v>
      </c>
      <c r="J14" s="53">
        <f>'Loan Book'!G14*MIN('Loan Book'!H14*Assumptions!$C$30,1)*MIN('Loan Book'!I14*Assumptions!$D$30,1)</f>
        <v>0.10499999999999998</v>
      </c>
      <c r="K14" s="53">
        <f>'Loan Book'!G14*'Loan Book'!J14*Assumptions!$C$33</f>
        <v>0</v>
      </c>
      <c r="L14" s="53">
        <f t="shared" si="0"/>
        <v>8.9999999999999983E-2</v>
      </c>
    </row>
    <row r="15" spans="2:12" ht="18" customHeight="1" x14ac:dyDescent="0.3">
      <c r="B15" s="22">
        <v>10</v>
      </c>
      <c r="C15" s="32" t="s">
        <v>143</v>
      </c>
      <c r="D15" s="25" t="s">
        <v>59</v>
      </c>
      <c r="E15" s="54">
        <f>'Loan Book'!G15</f>
        <v>350</v>
      </c>
      <c r="F15" s="44">
        <f>'Loan Book'!G15*MIN('Loan Book'!H15*Assumptions!$C$28,1)*MIN('Loan Book'!I15*Assumptions!$D$28,1)</f>
        <v>5.7750000000000004</v>
      </c>
      <c r="G15" s="44">
        <f>'Loan Book'!G15*'Loan Book'!J15*Assumptions!$C$33</f>
        <v>28</v>
      </c>
      <c r="H15" s="55">
        <f>'Loan Book'!G15*MIN('Loan Book'!H15*Assumptions!$C$29,1)*MIN('Loan Book'!I15*Assumptions!$D$29,1)</f>
        <v>17.324999999999999</v>
      </c>
      <c r="I15" s="55">
        <f>'Loan Book'!G15*'Loan Book'!J15*Assumptions!$C$33</f>
        <v>28</v>
      </c>
      <c r="J15" s="56">
        <f>'Loan Book'!G15*MIN('Loan Book'!H15*Assumptions!$C$30,1)*MIN('Loan Book'!I15*Assumptions!$D$30,1)</f>
        <v>40.425000000000004</v>
      </c>
      <c r="K15" s="56">
        <f>'Loan Book'!G15*'Loan Book'!J15*Assumptions!$C$33</f>
        <v>28</v>
      </c>
      <c r="L15" s="53">
        <f t="shared" si="0"/>
        <v>34.650000000000006</v>
      </c>
    </row>
    <row r="16" spans="2:12" ht="18" customHeight="1" x14ac:dyDescent="0.3">
      <c r="B16" s="26">
        <v>11</v>
      </c>
      <c r="C16" s="15" t="s">
        <v>144</v>
      </c>
      <c r="D16" s="28" t="s">
        <v>53</v>
      </c>
      <c r="E16" s="51">
        <f>'Loan Book'!G16</f>
        <v>800</v>
      </c>
      <c r="F16" s="41">
        <f>'Loan Book'!G16*MIN('Loan Book'!H16*Assumptions!$C$28,1)*MIN('Loan Book'!I16*Assumptions!$D$28,1)</f>
        <v>0.4</v>
      </c>
      <c r="G16" s="41">
        <f>'Loan Book'!G16*'Loan Book'!J16*Assumptions!$C$33</f>
        <v>22.400000000000002</v>
      </c>
      <c r="H16" s="52">
        <f>'Loan Book'!G16*MIN('Loan Book'!H16*Assumptions!$C$29,1)*MIN('Loan Book'!I16*Assumptions!$D$29,1)</f>
        <v>1.2</v>
      </c>
      <c r="I16" s="52">
        <f>'Loan Book'!G16*'Loan Book'!J16*Assumptions!$C$33</f>
        <v>22.400000000000002</v>
      </c>
      <c r="J16" s="53">
        <f>'Loan Book'!G16*MIN('Loan Book'!H16*Assumptions!$C$30,1)*MIN('Loan Book'!I16*Assumptions!$D$30,1)</f>
        <v>2.8</v>
      </c>
      <c r="K16" s="53">
        <f>'Loan Book'!G16*'Loan Book'!J16*Assumptions!$C$33</f>
        <v>22.400000000000002</v>
      </c>
      <c r="L16" s="53">
        <f t="shared" si="0"/>
        <v>2.4</v>
      </c>
    </row>
    <row r="17" spans="2:12" ht="18" customHeight="1" x14ac:dyDescent="0.3">
      <c r="B17" s="22">
        <v>12</v>
      </c>
      <c r="C17" s="32" t="s">
        <v>146</v>
      </c>
      <c r="D17" s="25" t="s">
        <v>56</v>
      </c>
      <c r="E17" s="54">
        <f>'Loan Book'!G17</f>
        <v>250</v>
      </c>
      <c r="F17" s="44">
        <f>'Loan Book'!G17*MIN('Loan Book'!H17*Assumptions!$C$28,1)*MIN('Loan Book'!I17*Assumptions!$D$28,1)</f>
        <v>1.375</v>
      </c>
      <c r="G17" s="44">
        <f>'Loan Book'!G17*'Loan Book'!J17*Assumptions!$C$33</f>
        <v>20</v>
      </c>
      <c r="H17" s="55">
        <f>'Loan Book'!G17*MIN('Loan Book'!H17*Assumptions!$C$29,1)*MIN('Loan Book'!I17*Assumptions!$D$29,1)</f>
        <v>4.125</v>
      </c>
      <c r="I17" s="55">
        <f>'Loan Book'!G17*'Loan Book'!J17*Assumptions!$C$33</f>
        <v>20</v>
      </c>
      <c r="J17" s="56">
        <f>'Loan Book'!G17*MIN('Loan Book'!H17*Assumptions!$C$30,1)*MIN('Loan Book'!I17*Assumptions!$D$30,1)</f>
        <v>9.625</v>
      </c>
      <c r="K17" s="56">
        <f>'Loan Book'!G17*'Loan Book'!J17*Assumptions!$C$33</f>
        <v>20</v>
      </c>
      <c r="L17" s="53">
        <f t="shared" si="0"/>
        <v>8.25</v>
      </c>
    </row>
    <row r="18" spans="2:12" ht="18" customHeight="1" x14ac:dyDescent="0.3">
      <c r="B18" s="26">
        <v>13</v>
      </c>
      <c r="C18" s="15" t="s">
        <v>148</v>
      </c>
      <c r="D18" s="28" t="s">
        <v>47</v>
      </c>
      <c r="E18" s="51">
        <f>'Loan Book'!G18</f>
        <v>1800</v>
      </c>
      <c r="F18" s="41">
        <f>'Loan Book'!G18*MIN('Loan Book'!H18*Assumptions!$C$28,1)*MIN('Loan Book'!I18*Assumptions!$D$28,1)</f>
        <v>0.315</v>
      </c>
      <c r="G18" s="41">
        <f>'Loan Book'!G18*'Loan Book'!J18*Assumptions!$C$33</f>
        <v>144</v>
      </c>
      <c r="H18" s="52">
        <f>'Loan Book'!G18*MIN('Loan Book'!H18*Assumptions!$C$29,1)*MIN('Loan Book'!I18*Assumptions!$D$29,1)</f>
        <v>0.94499999999999995</v>
      </c>
      <c r="I18" s="52">
        <f>'Loan Book'!G18*'Loan Book'!J18*Assumptions!$C$33</f>
        <v>144</v>
      </c>
      <c r="J18" s="53">
        <f>'Loan Book'!G18*MIN('Loan Book'!H18*Assumptions!$C$30,1)*MIN('Loan Book'!I18*Assumptions!$D$30,1)</f>
        <v>2.2049999999999996</v>
      </c>
      <c r="K18" s="53">
        <f>'Loan Book'!G18*'Loan Book'!J18*Assumptions!$C$33</f>
        <v>144</v>
      </c>
      <c r="L18" s="53">
        <f t="shared" si="0"/>
        <v>1.8899999999999997</v>
      </c>
    </row>
    <row r="19" spans="2:12" ht="18" customHeight="1" x14ac:dyDescent="0.3">
      <c r="B19" s="22">
        <v>14</v>
      </c>
      <c r="C19" s="32" t="s">
        <v>150</v>
      </c>
      <c r="D19" s="25" t="s">
        <v>56</v>
      </c>
      <c r="E19" s="54">
        <f>'Loan Book'!G19</f>
        <v>12</v>
      </c>
      <c r="F19" s="44">
        <f>'Loan Book'!G19*MIN('Loan Book'!H19*Assumptions!$C$28,1)*MIN('Loan Book'!I19*Assumptions!$D$28,1)</f>
        <v>7.8E-2</v>
      </c>
      <c r="G19" s="44">
        <f>'Loan Book'!G19*'Loan Book'!J19*Assumptions!$C$33</f>
        <v>0.72</v>
      </c>
      <c r="H19" s="55">
        <f>'Loan Book'!G19*MIN('Loan Book'!H19*Assumptions!$C$29,1)*MIN('Loan Book'!I19*Assumptions!$D$29,1)</f>
        <v>0.23400000000000004</v>
      </c>
      <c r="I19" s="55">
        <f>'Loan Book'!G19*'Loan Book'!J19*Assumptions!$C$33</f>
        <v>0.72</v>
      </c>
      <c r="J19" s="56">
        <f>'Loan Book'!G19*MIN('Loan Book'!H19*Assumptions!$C$30,1)*MIN('Loan Book'!I19*Assumptions!$D$30,1)</f>
        <v>0.54600000000000004</v>
      </c>
      <c r="K19" s="56">
        <f>'Loan Book'!G19*'Loan Book'!J19*Assumptions!$C$33</f>
        <v>0.72</v>
      </c>
      <c r="L19" s="53">
        <f t="shared" si="0"/>
        <v>0.46800000000000003</v>
      </c>
    </row>
    <row r="20" spans="2:12" ht="18" customHeight="1" x14ac:dyDescent="0.3">
      <c r="B20" s="26">
        <v>15</v>
      </c>
      <c r="C20" s="15" t="s">
        <v>151</v>
      </c>
      <c r="D20" s="28" t="s">
        <v>43</v>
      </c>
      <c r="E20" s="51">
        <f>'Loan Book'!G20</f>
        <v>2200</v>
      </c>
      <c r="F20" s="41">
        <f>'Loan Book'!G20*MIN('Loan Book'!H20*Assumptions!$C$28,1)*MIN('Loan Book'!I20*Assumptions!$D$28,1)</f>
        <v>1.1000000000000001E-2</v>
      </c>
      <c r="G20" s="41">
        <f>'Loan Book'!G20*'Loan Book'!J20*Assumptions!$C$33</f>
        <v>0</v>
      </c>
      <c r="H20" s="52">
        <f>'Loan Book'!G20*MIN('Loan Book'!H20*Assumptions!$C$29,1)*MIN('Loan Book'!I20*Assumptions!$D$29,1)</f>
        <v>3.3000000000000002E-2</v>
      </c>
      <c r="I20" s="52">
        <f>'Loan Book'!G20*'Loan Book'!J20*Assumptions!$C$33</f>
        <v>0</v>
      </c>
      <c r="J20" s="53">
        <f>'Loan Book'!G20*MIN('Loan Book'!H20*Assumptions!$C$30,1)*MIN('Loan Book'!I20*Assumptions!$D$30,1)</f>
        <v>7.6999999999999999E-2</v>
      </c>
      <c r="K20" s="53">
        <f>'Loan Book'!G20*'Loan Book'!J20*Assumptions!$C$33</f>
        <v>0</v>
      </c>
      <c r="L20" s="53">
        <f t="shared" si="0"/>
        <v>6.6000000000000003E-2</v>
      </c>
    </row>
    <row r="21" spans="2:12" ht="21.75" customHeight="1" x14ac:dyDescent="0.3">
      <c r="B21" s="9" t="s">
        <v>153</v>
      </c>
      <c r="C21" s="9"/>
      <c r="D21" s="9"/>
      <c r="E21" s="47">
        <f t="shared" ref="E21:L21" si="1">SUM(E6:E20)</f>
        <v>14935</v>
      </c>
      <c r="F21" s="47">
        <f t="shared" si="1"/>
        <v>21.5367</v>
      </c>
      <c r="G21" s="47">
        <f t="shared" si="1"/>
        <v>606.5</v>
      </c>
      <c r="H21" s="47">
        <f t="shared" si="1"/>
        <v>64.610099999999989</v>
      </c>
      <c r="I21" s="47">
        <f t="shared" si="1"/>
        <v>606.5</v>
      </c>
      <c r="J21" s="47">
        <f t="shared" si="1"/>
        <v>147.75690000000003</v>
      </c>
      <c r="K21" s="47">
        <f t="shared" si="1"/>
        <v>606.5</v>
      </c>
      <c r="L21" s="47">
        <f t="shared" si="1"/>
        <v>126.22020000000002</v>
      </c>
    </row>
    <row r="22" spans="2:12" ht="9.75" customHeight="1" x14ac:dyDescent="0.3"/>
    <row r="23" spans="2:12" ht="21.75" customHeight="1" x14ac:dyDescent="0.3">
      <c r="B23" s="9" t="s">
        <v>165</v>
      </c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2:12" ht="27.75" customHeight="1" x14ac:dyDescent="0.3">
      <c r="B24" s="21" t="s">
        <v>95</v>
      </c>
      <c r="C24" s="21" t="s">
        <v>166</v>
      </c>
      <c r="D24" s="21" t="s">
        <v>167</v>
      </c>
      <c r="E24" s="21" t="s">
        <v>168</v>
      </c>
      <c r="F24" s="21" t="s">
        <v>169</v>
      </c>
      <c r="G24" s="21" t="s">
        <v>170</v>
      </c>
    </row>
    <row r="25" spans="2:12" ht="21.75" customHeight="1" x14ac:dyDescent="0.3">
      <c r="B25" s="34" t="s">
        <v>171</v>
      </c>
      <c r="C25" s="57">
        <f>F21</f>
        <v>21.5367</v>
      </c>
      <c r="D25" s="58">
        <f>C25/E21</f>
        <v>1.442028791429528E-3</v>
      </c>
      <c r="E25" s="57">
        <f>G21</f>
        <v>606.5</v>
      </c>
      <c r="F25" s="59">
        <f>D25/E21</f>
        <v>9.6553651920289793E-8</v>
      </c>
      <c r="G25" s="74" t="s">
        <v>172</v>
      </c>
      <c r="H25" s="74"/>
      <c r="I25" s="74"/>
      <c r="J25" s="74"/>
      <c r="K25" s="74"/>
      <c r="L25" s="74"/>
    </row>
    <row r="26" spans="2:12" ht="21.75" customHeight="1" x14ac:dyDescent="0.3">
      <c r="B26" s="36" t="s">
        <v>100</v>
      </c>
      <c r="C26" s="52">
        <f>H21</f>
        <v>64.610099999999989</v>
      </c>
      <c r="D26" s="60">
        <f>C26/E21</f>
        <v>4.3260863742885835E-3</v>
      </c>
      <c r="E26" s="52">
        <f>I21</f>
        <v>606.5</v>
      </c>
      <c r="F26" s="61">
        <f>D26/E21</f>
        <v>2.8966095576086935E-7</v>
      </c>
      <c r="G26" s="75" t="s">
        <v>173</v>
      </c>
      <c r="H26" s="75"/>
      <c r="I26" s="75"/>
      <c r="J26" s="75"/>
      <c r="K26" s="75"/>
      <c r="L26" s="75"/>
    </row>
    <row r="27" spans="2:12" ht="21.75" customHeight="1" x14ac:dyDescent="0.3">
      <c r="B27" s="37" t="s">
        <v>102</v>
      </c>
      <c r="C27" s="53">
        <f>J21</f>
        <v>147.75690000000003</v>
      </c>
      <c r="D27" s="62">
        <f>C27/E21</f>
        <v>9.8933311014395738E-3</v>
      </c>
      <c r="E27" s="53">
        <f>K21</f>
        <v>606.5</v>
      </c>
      <c r="F27" s="63">
        <f>D27/E21</f>
        <v>6.6242591907864574E-7</v>
      </c>
      <c r="G27" s="76" t="s">
        <v>174</v>
      </c>
      <c r="H27" s="76"/>
      <c r="I27" s="76"/>
      <c r="J27" s="76"/>
      <c r="K27" s="76"/>
      <c r="L27" s="76"/>
    </row>
  </sheetData>
  <mergeCells count="7">
    <mergeCell ref="G26:L26"/>
    <mergeCell ref="G27:L27"/>
    <mergeCell ref="B2:L2"/>
    <mergeCell ref="B3:L3"/>
    <mergeCell ref="B21:D21"/>
    <mergeCell ref="B23:L23"/>
    <mergeCell ref="G25:L25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showGridLines="0" zoomScaleNormal="100" workbookViewId="0">
      <selection activeCell="K11" sqref="K11"/>
    </sheetView>
  </sheetViews>
  <sheetFormatPr defaultColWidth="8.6640625" defaultRowHeight="14.4" x14ac:dyDescent="0.3"/>
  <cols>
    <col min="1" max="1" width="2" style="13" customWidth="1"/>
    <col min="2" max="2" width="32" style="13" customWidth="1"/>
    <col min="3" max="3" width="14" style="13" customWidth="1"/>
    <col min="4" max="4" width="12" style="13" customWidth="1"/>
    <col min="5" max="5" width="14" style="13" customWidth="1"/>
    <col min="6" max="6" width="18" style="13" customWidth="1"/>
    <col min="7" max="8" width="12" style="13" customWidth="1"/>
    <col min="9" max="9" width="14" style="13" customWidth="1"/>
  </cols>
  <sheetData>
    <row r="1" spans="2:9" ht="7.5" customHeight="1" x14ac:dyDescent="0.3"/>
    <row r="2" spans="2:9" ht="36" customHeight="1" x14ac:dyDescent="0.3">
      <c r="B2" s="4" t="s">
        <v>175</v>
      </c>
      <c r="C2" s="4"/>
      <c r="D2" s="4"/>
      <c r="E2" s="4"/>
      <c r="F2" s="4"/>
      <c r="G2" s="4"/>
      <c r="H2" s="4"/>
      <c r="I2" s="4"/>
    </row>
    <row r="3" spans="2:9" ht="7.5" customHeight="1" x14ac:dyDescent="0.3"/>
    <row r="4" spans="2:9" ht="21.75" customHeight="1" x14ac:dyDescent="0.3">
      <c r="B4" s="9" t="s">
        <v>176</v>
      </c>
      <c r="C4" s="9"/>
      <c r="D4" s="9"/>
      <c r="E4" s="9"/>
      <c r="F4" s="9"/>
      <c r="G4" s="9"/>
      <c r="H4" s="9"/>
      <c r="I4" s="9"/>
    </row>
    <row r="5" spans="2:9" ht="21.75" customHeight="1" x14ac:dyDescent="0.3">
      <c r="B5" s="15" t="s">
        <v>177</v>
      </c>
      <c r="C5" s="77">
        <f>'Loan Book'!G21</f>
        <v>14935</v>
      </c>
      <c r="D5" s="77"/>
      <c r="E5" s="86" t="s">
        <v>178</v>
      </c>
      <c r="F5" s="86"/>
      <c r="G5" s="86"/>
      <c r="H5" s="86"/>
      <c r="I5" s="86"/>
    </row>
    <row r="6" spans="2:9" ht="21.75" customHeight="1" x14ac:dyDescent="0.3">
      <c r="B6" s="14" t="s">
        <v>179</v>
      </c>
      <c r="C6" s="77">
        <f>'Loan Book'!K21</f>
        <v>21.5367</v>
      </c>
      <c r="D6" s="77"/>
      <c r="E6" s="87" t="s">
        <v>180</v>
      </c>
      <c r="F6" s="87"/>
      <c r="G6" s="87"/>
      <c r="H6" s="87"/>
      <c r="I6" s="87"/>
    </row>
    <row r="7" spans="2:9" ht="21.75" customHeight="1" x14ac:dyDescent="0.3">
      <c r="B7" s="15" t="s">
        <v>181</v>
      </c>
      <c r="C7" s="77">
        <f>'Loan Book'!L21</f>
        <v>208.66595630007777</v>
      </c>
      <c r="D7" s="77"/>
      <c r="E7" s="86" t="s">
        <v>182</v>
      </c>
      <c r="F7" s="86"/>
      <c r="G7" s="86"/>
      <c r="H7" s="86"/>
      <c r="I7" s="86"/>
    </row>
    <row r="8" spans="2:9" ht="21.75" customHeight="1" x14ac:dyDescent="0.3">
      <c r="B8" s="14" t="s">
        <v>183</v>
      </c>
      <c r="C8" s="77">
        <f>'Loan Book'!M21</f>
        <v>7581.25</v>
      </c>
      <c r="D8" s="77"/>
      <c r="E8" s="87" t="s">
        <v>184</v>
      </c>
      <c r="F8" s="87"/>
      <c r="G8" s="87"/>
      <c r="H8" s="87"/>
      <c r="I8" s="87"/>
    </row>
    <row r="9" spans="2:9" ht="21.75" customHeight="1" x14ac:dyDescent="0.3">
      <c r="B9" s="15" t="s">
        <v>185</v>
      </c>
      <c r="C9" s="77">
        <f>'Loan Book'!N21</f>
        <v>606.5</v>
      </c>
      <c r="D9" s="77"/>
      <c r="E9" s="86" t="s">
        <v>186</v>
      </c>
      <c r="F9" s="86"/>
      <c r="G9" s="86"/>
      <c r="H9" s="86"/>
      <c r="I9" s="86"/>
    </row>
    <row r="10" spans="2:9" ht="21.75" customHeight="1" x14ac:dyDescent="0.3">
      <c r="B10" s="14" t="s">
        <v>187</v>
      </c>
      <c r="C10" s="78">
        <f>'Loan Book'!O21</f>
        <v>1.442028791429528E-3</v>
      </c>
      <c r="D10" s="78"/>
      <c r="E10" s="87" t="s">
        <v>188</v>
      </c>
      <c r="F10" s="87"/>
      <c r="G10" s="87"/>
      <c r="H10" s="87"/>
      <c r="I10" s="87"/>
    </row>
    <row r="11" spans="2:9" ht="21.75" customHeight="1" x14ac:dyDescent="0.3">
      <c r="B11" s="15" t="s">
        <v>189</v>
      </c>
      <c r="C11" s="79">
        <f>'Loan Book'!P21</f>
        <v>4.0609306996986942E-2</v>
      </c>
      <c r="D11" s="79"/>
      <c r="E11" s="86" t="s">
        <v>190</v>
      </c>
      <c r="F11" s="86"/>
      <c r="G11" s="86"/>
      <c r="H11" s="86"/>
      <c r="I11" s="86"/>
    </row>
    <row r="12" spans="2:9" ht="21.75" customHeight="1" x14ac:dyDescent="0.3">
      <c r="B12" s="14" t="s">
        <v>191</v>
      </c>
      <c r="C12" s="80">
        <f>COUNTA('Loan Book'!C6:C20)</f>
        <v>15</v>
      </c>
      <c r="D12" s="80"/>
      <c r="E12" s="87" t="s">
        <v>192</v>
      </c>
      <c r="F12" s="87"/>
      <c r="G12" s="87"/>
      <c r="H12" s="87"/>
      <c r="I12" s="87"/>
    </row>
    <row r="13" spans="2:9" ht="9.75" customHeight="1" x14ac:dyDescent="0.3"/>
    <row r="14" spans="2:9" ht="21.75" customHeight="1" x14ac:dyDescent="0.3">
      <c r="B14" s="9" t="s">
        <v>193</v>
      </c>
      <c r="C14" s="9"/>
      <c r="D14" s="9"/>
      <c r="E14" s="9"/>
      <c r="F14" s="9"/>
      <c r="G14" s="9"/>
      <c r="H14" s="9"/>
      <c r="I14" s="9"/>
    </row>
    <row r="15" spans="2:9" ht="27.75" customHeight="1" x14ac:dyDescent="0.3">
      <c r="B15" s="21" t="s">
        <v>95</v>
      </c>
      <c r="C15" s="21" t="s">
        <v>194</v>
      </c>
      <c r="D15" s="21" t="s">
        <v>195</v>
      </c>
      <c r="E15" s="21" t="s">
        <v>196</v>
      </c>
      <c r="F15" s="21" t="s">
        <v>197</v>
      </c>
      <c r="G15" s="21" t="s">
        <v>198</v>
      </c>
    </row>
    <row r="16" spans="2:9" ht="21.75" customHeight="1" x14ac:dyDescent="0.3">
      <c r="B16" s="34" t="s">
        <v>171</v>
      </c>
      <c r="C16" s="64">
        <f>'Scenario Analysis'!C25</f>
        <v>21.5367</v>
      </c>
      <c r="D16" s="65">
        <f>'Scenario Analysis'!D25</f>
        <v>1.442028791429528E-3</v>
      </c>
      <c r="E16" s="64">
        <f>'Scenario Analysis'!E25</f>
        <v>606.5</v>
      </c>
      <c r="F16" s="66" t="s">
        <v>199</v>
      </c>
      <c r="G16" s="74" t="s">
        <v>200</v>
      </c>
      <c r="H16" s="74"/>
      <c r="I16" s="74"/>
    </row>
    <row r="17" spans="2:9" ht="21.75" customHeight="1" x14ac:dyDescent="0.3">
      <c r="B17" s="36" t="s">
        <v>100</v>
      </c>
      <c r="C17" s="67">
        <f>'Scenario Analysis'!C26</f>
        <v>64.610099999999989</v>
      </c>
      <c r="D17" s="68">
        <f>'Scenario Analysis'!D26</f>
        <v>4.3260863742885835E-3</v>
      </c>
      <c r="E17" s="67">
        <f>'Scenario Analysis'!E26</f>
        <v>606.5</v>
      </c>
      <c r="F17" s="52">
        <f>C17-C16</f>
        <v>43.073399999999992</v>
      </c>
      <c r="G17" s="75" t="s">
        <v>201</v>
      </c>
      <c r="H17" s="75"/>
      <c r="I17" s="75"/>
    </row>
    <row r="18" spans="2:9" ht="21.75" customHeight="1" x14ac:dyDescent="0.3">
      <c r="B18" s="37" t="s">
        <v>102</v>
      </c>
      <c r="C18" s="69">
        <f>'Scenario Analysis'!C27</f>
        <v>147.75690000000003</v>
      </c>
      <c r="D18" s="70">
        <f>'Scenario Analysis'!D27</f>
        <v>9.8933311014395738E-3</v>
      </c>
      <c r="E18" s="69">
        <f>'Scenario Analysis'!E27</f>
        <v>606.5</v>
      </c>
      <c r="F18" s="53">
        <f>C18-C16</f>
        <v>126.22020000000003</v>
      </c>
      <c r="G18" s="76" t="s">
        <v>202</v>
      </c>
      <c r="H18" s="76"/>
      <c r="I18" s="76"/>
    </row>
    <row r="19" spans="2:9" ht="9.75" customHeight="1" x14ac:dyDescent="0.3"/>
    <row r="20" spans="2:9" ht="21.75" customHeight="1" x14ac:dyDescent="0.3">
      <c r="B20" s="9" t="s">
        <v>203</v>
      </c>
      <c r="C20" s="9"/>
      <c r="D20" s="9"/>
      <c r="E20" s="9"/>
      <c r="F20" s="9"/>
      <c r="G20" s="9"/>
      <c r="H20" s="9"/>
      <c r="I20" s="9"/>
    </row>
    <row r="21" spans="2:9" ht="31.5" customHeight="1" x14ac:dyDescent="0.3">
      <c r="B21" s="71" t="s">
        <v>204</v>
      </c>
      <c r="C21" s="81" t="s">
        <v>205</v>
      </c>
      <c r="D21" s="81"/>
      <c r="E21" s="81"/>
      <c r="F21" s="81"/>
      <c r="G21" s="81"/>
      <c r="H21" s="81"/>
      <c r="I21" s="81"/>
    </row>
    <row r="22" spans="2:9" ht="31.5" customHeight="1" x14ac:dyDescent="0.3">
      <c r="B22" s="72" t="s">
        <v>206</v>
      </c>
      <c r="C22" s="82" t="s">
        <v>207</v>
      </c>
      <c r="D22" s="82"/>
      <c r="E22" s="82"/>
      <c r="F22" s="82"/>
      <c r="G22" s="82"/>
      <c r="H22" s="82"/>
      <c r="I22" s="82"/>
    </row>
    <row r="23" spans="2:9" ht="31.5" customHeight="1" x14ac:dyDescent="0.3">
      <c r="B23" s="71" t="s">
        <v>208</v>
      </c>
      <c r="C23" s="81" t="s">
        <v>209</v>
      </c>
      <c r="D23" s="81"/>
      <c r="E23" s="81"/>
      <c r="F23" s="81"/>
      <c r="G23" s="81"/>
      <c r="H23" s="81"/>
      <c r="I23" s="81"/>
    </row>
    <row r="24" spans="2:9" ht="31.5" customHeight="1" x14ac:dyDescent="0.3">
      <c r="B24" s="72" t="s">
        <v>210</v>
      </c>
      <c r="C24" s="82" t="s">
        <v>211</v>
      </c>
      <c r="D24" s="82"/>
      <c r="E24" s="82"/>
      <c r="F24" s="82"/>
      <c r="G24" s="82"/>
      <c r="H24" s="82"/>
      <c r="I24" s="82"/>
    </row>
    <row r="25" spans="2:9" ht="31.5" customHeight="1" x14ac:dyDescent="0.3">
      <c r="B25" s="71" t="s">
        <v>212</v>
      </c>
      <c r="C25" s="81" t="s">
        <v>213</v>
      </c>
      <c r="D25" s="81"/>
      <c r="E25" s="81"/>
      <c r="F25" s="81"/>
      <c r="G25" s="81"/>
      <c r="H25" s="81"/>
      <c r="I25" s="81"/>
    </row>
  </sheetData>
  <mergeCells count="28">
    <mergeCell ref="C21:I21"/>
    <mergeCell ref="C22:I22"/>
    <mergeCell ref="C23:I23"/>
    <mergeCell ref="C24:I24"/>
    <mergeCell ref="C25:I25"/>
    <mergeCell ref="B14:I14"/>
    <mergeCell ref="G16:I16"/>
    <mergeCell ref="G17:I17"/>
    <mergeCell ref="G18:I18"/>
    <mergeCell ref="B20:I20"/>
    <mergeCell ref="C10:D10"/>
    <mergeCell ref="E10:I10"/>
    <mergeCell ref="C11:D11"/>
    <mergeCell ref="E11:I11"/>
    <mergeCell ref="C12:D12"/>
    <mergeCell ref="E12:I12"/>
    <mergeCell ref="C7:D7"/>
    <mergeCell ref="E7:I7"/>
    <mergeCell ref="C8:D8"/>
    <mergeCell ref="E8:I8"/>
    <mergeCell ref="C9:D9"/>
    <mergeCell ref="E9:I9"/>
    <mergeCell ref="B2:I2"/>
    <mergeCell ref="B4:I4"/>
    <mergeCell ref="C5:D5"/>
    <mergeCell ref="E5:I5"/>
    <mergeCell ref="C6:D6"/>
    <mergeCell ref="E6:I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Assumptions</vt:lpstr>
      <vt:lpstr>Loan Book</vt:lpstr>
      <vt:lpstr>Scenario Analysis</vt:lpstr>
      <vt:lpstr>Summary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Arun Kumar</cp:lastModifiedBy>
  <cp:revision>0</cp:revision>
  <dcterms:created xsi:type="dcterms:W3CDTF">2026-05-30T06:15:34Z</dcterms:created>
  <dcterms:modified xsi:type="dcterms:W3CDTF">2026-05-31T07:24:57Z</dcterms:modified>
  <dc:language>en-US</dc:language>
</cp:coreProperties>
</file>